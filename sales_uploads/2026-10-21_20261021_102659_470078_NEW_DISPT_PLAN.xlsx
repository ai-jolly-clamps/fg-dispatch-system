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461619C-0892-4F02-8FE5-E2F08701D97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Sheet4!$A$1:$I$10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2" i="6"/>
</calcChain>
</file>

<file path=xl/sharedStrings.xml><?xml version="1.0" encoding="utf-8"?>
<sst xmlns="http://schemas.openxmlformats.org/spreadsheetml/2006/main" count="53" uniqueCount="36">
  <si>
    <t>DATE</t>
  </si>
  <si>
    <t>BY AIR OM</t>
  </si>
  <si>
    <t>M CODE</t>
  </si>
  <si>
    <t xml:space="preserve">CUSTOMER </t>
  </si>
  <si>
    <t>PART NO</t>
  </si>
  <si>
    <t>SIZE</t>
  </si>
  <si>
    <t>QTY</t>
  </si>
  <si>
    <t>SO NO</t>
  </si>
  <si>
    <t>INVOICE</t>
  </si>
  <si>
    <t>REMARKS</t>
  </si>
  <si>
    <t>AL PNT</t>
  </si>
  <si>
    <t>X8H18100</t>
  </si>
  <si>
    <t>URGENT</t>
  </si>
  <si>
    <t>WTL M03 B03 J4 AL1</t>
  </si>
  <si>
    <t>012627SO0221</t>
  </si>
  <si>
    <t>21.10.2026</t>
  </si>
  <si>
    <t>X8H04110</t>
  </si>
  <si>
    <t>XDH01300</t>
  </si>
  <si>
    <t>X8H18200</t>
  </si>
  <si>
    <t>WP M04 B01 J2A</t>
  </si>
  <si>
    <t>TAFE MOTORS</t>
  </si>
  <si>
    <t>WP M04 B01 J2X OEM</t>
  </si>
  <si>
    <t>XDH00600</t>
  </si>
  <si>
    <t>AL HOSUR 2</t>
  </si>
  <si>
    <t>X8H13000</t>
  </si>
  <si>
    <t>SFS M09 B11 J45A AL</t>
  </si>
  <si>
    <t>TV M03 B06 104.7 AL</t>
  </si>
  <si>
    <t>SFS M09 B11 J75A AL</t>
  </si>
  <si>
    <t>TV M03 B10 95.07 AL</t>
  </si>
  <si>
    <t>WTL M03 B03 312 AL NEW</t>
  </si>
  <si>
    <t>01SO0891</t>
  </si>
  <si>
    <t>012627SO0256</t>
  </si>
  <si>
    <t>012627SO0076</t>
  </si>
  <si>
    <t>01SO0999</t>
  </si>
  <si>
    <t>012526SO0895</t>
  </si>
  <si>
    <t>012526SO0860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</si>
</sst>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2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showHyperlinkTrans('251216103-1');" TargetMode="External"/><Relationship Id="rId1" Type="http://schemas.openxmlformats.org/officeDocument/2006/relationships/hyperlink" Target="javascript:showHyperlinkTrans('264258915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I10"/>
  <sheetViews>
    <sheetView tabSelected="1" workbookViewId="0">
      <selection sqref="A1:G9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9" x14ac:dyDescent="0.25">
      <c r="A1" s="10" t="s">
        <v>0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</row>
    <row r="2" spans="1:9" x14ac:dyDescent="0.25">
      <c r="A2" s="1" t="s">
        <v>15</v>
      </c>
      <c r="B2" s="1">
        <f>VLOOKUP(E2,[1]Sheet1!$E:$H,4,0)</f>
        <v>102977</v>
      </c>
      <c r="C2" s="1" t="s">
        <v>10</v>
      </c>
      <c r="D2" s="2" t="s">
        <v>16</v>
      </c>
      <c r="E2" s="1" t="s">
        <v>25</v>
      </c>
      <c r="F2" s="1">
        <v>900</v>
      </c>
      <c r="G2" s="1" t="s">
        <v>30</v>
      </c>
      <c r="H2" s="6"/>
      <c r="I2" s="1" t="s">
        <v>1</v>
      </c>
    </row>
    <row r="3" spans="1:9" x14ac:dyDescent="0.25">
      <c r="A3" s="1" t="s">
        <v>15</v>
      </c>
      <c r="B3" s="1">
        <f>VLOOKUP(E3,[1]Sheet1!$E:$H,4,0)</f>
        <v>102443</v>
      </c>
      <c r="C3" s="3" t="s">
        <v>10</v>
      </c>
      <c r="D3" s="2" t="s">
        <v>11</v>
      </c>
      <c r="E3" s="1" t="s">
        <v>13</v>
      </c>
      <c r="F3" s="1">
        <v>4000</v>
      </c>
      <c r="G3" s="1" t="s">
        <v>14</v>
      </c>
      <c r="H3" s="7"/>
      <c r="I3" s="1"/>
    </row>
    <row r="4" spans="1:9" x14ac:dyDescent="0.25">
      <c r="A4" s="1" t="s">
        <v>15</v>
      </c>
      <c r="B4" s="1">
        <f>VLOOKUP(E4,[1]Sheet1!$E:$H,4,0)</f>
        <v>102185</v>
      </c>
      <c r="C4" s="2" t="s">
        <v>10</v>
      </c>
      <c r="D4" s="2" t="s">
        <v>17</v>
      </c>
      <c r="E4" s="1" t="s">
        <v>26</v>
      </c>
      <c r="F4" s="1">
        <v>125</v>
      </c>
      <c r="G4" s="1" t="s">
        <v>31</v>
      </c>
      <c r="H4" s="1"/>
      <c r="I4" s="1" t="s">
        <v>1</v>
      </c>
    </row>
    <row r="5" spans="1:9" x14ac:dyDescent="0.25">
      <c r="A5" s="1" t="s">
        <v>15</v>
      </c>
      <c r="B5" s="1">
        <f>VLOOKUP(E5,[1]Sheet1!$E:$H,4,0)</f>
        <v>102819</v>
      </c>
      <c r="C5" s="2" t="s">
        <v>10</v>
      </c>
      <c r="D5" s="2" t="s">
        <v>18</v>
      </c>
      <c r="E5" s="1" t="s">
        <v>27</v>
      </c>
      <c r="F5" s="1">
        <v>10000</v>
      </c>
      <c r="G5" s="1" t="s">
        <v>32</v>
      </c>
      <c r="H5" s="1"/>
      <c r="I5" s="1"/>
    </row>
    <row r="6" spans="1:9" x14ac:dyDescent="0.25">
      <c r="A6" s="1" t="s">
        <v>15</v>
      </c>
      <c r="B6" s="1">
        <f>VLOOKUP(E6,[1]Sheet1!$E:$H,4,0)</f>
        <v>100260</v>
      </c>
      <c r="C6" s="2" t="s">
        <v>20</v>
      </c>
      <c r="D6" s="11">
        <v>93367198</v>
      </c>
      <c r="E6" s="11" t="s">
        <v>19</v>
      </c>
      <c r="F6" s="1">
        <v>12000</v>
      </c>
      <c r="G6" s="1" t="s">
        <v>35</v>
      </c>
      <c r="H6" s="1"/>
      <c r="I6" s="1" t="s">
        <v>12</v>
      </c>
    </row>
    <row r="7" spans="1:9" x14ac:dyDescent="0.25">
      <c r="A7" s="1" t="s">
        <v>15</v>
      </c>
      <c r="B7" s="1">
        <f>VLOOKUP(E7,[1]Sheet1!$E:$H,4,0)</f>
        <v>100949</v>
      </c>
      <c r="C7" s="2" t="s">
        <v>20</v>
      </c>
      <c r="D7" s="11">
        <v>96138550</v>
      </c>
      <c r="E7" s="11" t="s">
        <v>21</v>
      </c>
      <c r="F7" s="1">
        <v>12000</v>
      </c>
      <c r="G7" s="1" t="s">
        <v>35</v>
      </c>
      <c r="H7" s="1"/>
      <c r="I7" s="1" t="s">
        <v>12</v>
      </c>
    </row>
    <row r="8" spans="1:9" ht="15.75" thickBot="1" x14ac:dyDescent="0.3">
      <c r="A8" s="1" t="s">
        <v>15</v>
      </c>
      <c r="B8" s="1">
        <f>VLOOKUP(E8,[1]Sheet1!$E:$H,4,0)</f>
        <v>101706</v>
      </c>
      <c r="C8" s="12" t="s">
        <v>23</v>
      </c>
      <c r="D8" s="13" t="s">
        <v>22</v>
      </c>
      <c r="E8" t="s">
        <v>28</v>
      </c>
      <c r="F8" s="1">
        <v>500</v>
      </c>
      <c r="G8" s="1" t="s">
        <v>33</v>
      </c>
      <c r="H8" s="1"/>
      <c r="I8" s="1" t="s">
        <v>12</v>
      </c>
    </row>
    <row r="9" spans="1:9" x14ac:dyDescent="0.25">
      <c r="A9" s="1" t="s">
        <v>15</v>
      </c>
      <c r="B9" s="1" t="e">
        <f>VLOOKUP(E9,[1]Sheet1!$E:$H,4,0)</f>
        <v>#N/A</v>
      </c>
      <c r="C9" s="2" t="s">
        <v>23</v>
      </c>
      <c r="D9" s="9" t="s">
        <v>24</v>
      </c>
      <c r="E9" s="1" t="s">
        <v>29</v>
      </c>
      <c r="F9" s="1">
        <v>400</v>
      </c>
      <c r="G9" s="1" t="s">
        <v>34</v>
      </c>
      <c r="H9" s="4"/>
      <c r="I9" s="1" t="s">
        <v>12</v>
      </c>
    </row>
    <row r="10" spans="1:9" x14ac:dyDescent="0.25">
      <c r="A10" s="1"/>
      <c r="B10" s="1"/>
      <c r="C10" s="2"/>
      <c r="D10" s="8"/>
      <c r="E10" s="1"/>
      <c r="F10" s="1"/>
      <c r="G10" s="5"/>
      <c r="H10" s="1"/>
      <c r="I10" s="1"/>
    </row>
  </sheetData>
  <autoFilter ref="A1:I10" xr:uid="{F35EB766-5E85-41FD-9437-4EB6FA9729C3}"/>
  <conditionalFormatting sqref="E6">
    <cfRule type="duplicateValues" dxfId="3" priority="4"/>
  </conditionalFormatting>
  <conditionalFormatting sqref="E7">
    <cfRule type="duplicateValues" dxfId="2" priority="3"/>
  </conditionalFormatting>
  <conditionalFormatting sqref="G2:G9">
    <cfRule type="duplicateValues" dxfId="1" priority="1"/>
    <cfRule type="duplicateValues" dxfId="0" priority="2"/>
  </conditionalFormatting>
  <hyperlinks>
    <hyperlink ref="G3" r:id="rId1" display="javascript:showHyperlinkTrans('264258915-1');" xr:uid="{62DA25C2-4C1C-4B56-B9D7-43AA1A706B97}"/>
    <hyperlink ref="G9" r:id="rId2" display="javascript:showHyperlinkTrans('251216103-1');" xr:uid="{929937D9-0E18-4F77-8CCC-68AB56610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2026-10-21T04:55:13Z</dcterms:modified>
</cp:coreProperties>
</file>