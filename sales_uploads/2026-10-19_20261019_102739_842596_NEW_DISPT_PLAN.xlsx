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39D03FC-C8BC-41A3-86D6-5810CF3F738D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Sheet4!$A$1:$I$11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2" i="6"/>
</calcChain>
</file>

<file path=xl/sharedStrings.xml><?xml version="1.0" encoding="utf-8"?>
<sst xmlns="http://schemas.openxmlformats.org/spreadsheetml/2006/main" count="61" uniqueCount="37">
  <si>
    <t>DATE</t>
  </si>
  <si>
    <t>ESCORT</t>
  </si>
  <si>
    <t>BY AIR OM</t>
  </si>
  <si>
    <t>012627SO0107</t>
  </si>
  <si>
    <t>M CODE</t>
  </si>
  <si>
    <t xml:space="preserve">CUSTOMER </t>
  </si>
  <si>
    <t>PART NO</t>
  </si>
  <si>
    <t>SIZE</t>
  </si>
  <si>
    <t>QTY</t>
  </si>
  <si>
    <t>SO NO</t>
  </si>
  <si>
    <t>INVOICE</t>
  </si>
  <si>
    <t>REMARKS</t>
  </si>
  <si>
    <t>WTL M03 B02 80 OEM</t>
  </si>
  <si>
    <t>C9120354</t>
  </si>
  <si>
    <t>C9120355</t>
  </si>
  <si>
    <t>WTL M03 B02 88 OEM</t>
  </si>
  <si>
    <t>C9120343</t>
  </si>
  <si>
    <t>WTL M03 B02 10 OEM</t>
  </si>
  <si>
    <t>19.10.2026</t>
  </si>
  <si>
    <t>AL PNT</t>
  </si>
  <si>
    <t>X8H18100</t>
  </si>
  <si>
    <t>TAFE EICHER ENGINE</t>
  </si>
  <si>
    <t>BULL MACHINE</t>
  </si>
  <si>
    <t>FS M09 B11 J45A OEM</t>
  </si>
  <si>
    <t>URGENT</t>
  </si>
  <si>
    <t>X8H18300</t>
  </si>
  <si>
    <t>AL ALWAR</t>
  </si>
  <si>
    <t>WTL M03 B03 J4 AL1</t>
  </si>
  <si>
    <t>WTL M03 B03 262 EE</t>
  </si>
  <si>
    <t>WTL M03 B03 312 EE</t>
  </si>
  <si>
    <t>WTL M03 B03 J3 EE</t>
  </si>
  <si>
    <t>SFS M09 B11 J2X AL</t>
  </si>
  <si>
    <t>012627SO0221</t>
  </si>
  <si>
    <t>01SO1070</t>
  </si>
  <si>
    <t>01SO0859</t>
  </si>
  <si>
    <t>012627SO0289</t>
  </si>
  <si>
    <t>012627SO0039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</si>
</sst>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2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2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5614882-1');" TargetMode="External"/><Relationship Id="rId2" Type="http://schemas.openxmlformats.org/officeDocument/2006/relationships/hyperlink" Target="javascript:showHyperlinkTrans('268801041-1');" TargetMode="External"/><Relationship Id="rId1" Type="http://schemas.openxmlformats.org/officeDocument/2006/relationships/hyperlink" Target="javascript:showHyperlinkTrans('264258915-1');" TargetMode="External"/><Relationship Id="rId5" Type="http://schemas.openxmlformats.org/officeDocument/2006/relationships/hyperlink" Target="javascript:showHyperlinkTrans('255614882-1');" TargetMode="External"/><Relationship Id="rId4" Type="http://schemas.openxmlformats.org/officeDocument/2006/relationships/hyperlink" Target="javascript:showHyperlinkTrans('25561488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I11"/>
  <sheetViews>
    <sheetView tabSelected="1" workbookViewId="0">
      <selection activeCell="C17" sqref="C17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9" x14ac:dyDescent="0.2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</row>
    <row r="2" spans="1:9" x14ac:dyDescent="0.25">
      <c r="A2" s="1" t="s">
        <v>18</v>
      </c>
      <c r="B2" s="1">
        <f>VLOOKUP(E2,[1]Sheet1!$E:$H,4,0)</f>
        <v>104410</v>
      </c>
      <c r="C2" s="1" t="s">
        <v>1</v>
      </c>
      <c r="D2" s="2" t="s">
        <v>13</v>
      </c>
      <c r="E2" s="1" t="s">
        <v>12</v>
      </c>
      <c r="F2" s="1">
        <v>500</v>
      </c>
      <c r="G2" s="5" t="s">
        <v>3</v>
      </c>
      <c r="H2" s="6"/>
      <c r="I2" s="1" t="s">
        <v>2</v>
      </c>
    </row>
    <row r="3" spans="1:9" x14ac:dyDescent="0.25">
      <c r="A3" s="1" t="s">
        <v>18</v>
      </c>
      <c r="B3" s="1">
        <f>VLOOKUP(E3,[1]Sheet1!$E:$H,4,0)</f>
        <v>104411</v>
      </c>
      <c r="C3" s="3" t="s">
        <v>1</v>
      </c>
      <c r="D3" s="2" t="s">
        <v>14</v>
      </c>
      <c r="E3" s="1" t="s">
        <v>15</v>
      </c>
      <c r="F3" s="1">
        <v>500</v>
      </c>
      <c r="G3" s="5" t="s">
        <v>3</v>
      </c>
      <c r="H3" s="9"/>
      <c r="I3" s="1"/>
    </row>
    <row r="4" spans="1:9" x14ac:dyDescent="0.25">
      <c r="A4" s="1" t="s">
        <v>18</v>
      </c>
      <c r="B4" s="1">
        <f>VLOOKUP(E4,[1]Sheet1!$E:$H,4,0)</f>
        <v>104400</v>
      </c>
      <c r="C4" s="2" t="s">
        <v>1</v>
      </c>
      <c r="D4" s="2" t="s">
        <v>16</v>
      </c>
      <c r="E4" s="1" t="s">
        <v>17</v>
      </c>
      <c r="F4" s="1">
        <v>1000</v>
      </c>
      <c r="G4" s="5" t="s">
        <v>3</v>
      </c>
      <c r="H4" s="1"/>
      <c r="I4" s="1" t="s">
        <v>2</v>
      </c>
    </row>
    <row r="5" spans="1:9" x14ac:dyDescent="0.25">
      <c r="A5" s="1" t="s">
        <v>18</v>
      </c>
      <c r="B5" s="1">
        <f>VLOOKUP(E5,[1]Sheet1!$E:$H,4,0)</f>
        <v>102443</v>
      </c>
      <c r="C5" s="2" t="s">
        <v>19</v>
      </c>
      <c r="D5" s="2" t="s">
        <v>20</v>
      </c>
      <c r="E5" s="1" t="s">
        <v>27</v>
      </c>
      <c r="F5" s="1">
        <v>5500</v>
      </c>
      <c r="G5" s="5" t="s">
        <v>32</v>
      </c>
      <c r="H5" s="1"/>
      <c r="I5" s="1"/>
    </row>
    <row r="6" spans="1:9" x14ac:dyDescent="0.25">
      <c r="A6" s="7" t="s">
        <v>18</v>
      </c>
      <c r="B6" s="1">
        <f>VLOOKUP(E6,[1]Sheet1!$E:$H,4,0)</f>
        <v>103465</v>
      </c>
      <c r="C6" s="8" t="s">
        <v>21</v>
      </c>
      <c r="D6" s="2">
        <v>83180510</v>
      </c>
      <c r="E6" s="1" t="s">
        <v>28</v>
      </c>
      <c r="F6" s="1">
        <v>2000</v>
      </c>
      <c r="G6" s="5" t="s">
        <v>36</v>
      </c>
      <c r="H6" s="1"/>
      <c r="I6" s="1" t="s">
        <v>24</v>
      </c>
    </row>
    <row r="7" spans="1:9" x14ac:dyDescent="0.25">
      <c r="A7" s="7" t="s">
        <v>18</v>
      </c>
      <c r="B7" s="1">
        <f>VLOOKUP(E7,[1]Sheet1!$E:$H,4,0)</f>
        <v>103466</v>
      </c>
      <c r="C7" s="8" t="s">
        <v>21</v>
      </c>
      <c r="D7" s="2">
        <v>83270186</v>
      </c>
      <c r="E7" s="1" t="s">
        <v>29</v>
      </c>
      <c r="F7" s="1">
        <v>1000</v>
      </c>
      <c r="G7" s="5" t="s">
        <v>36</v>
      </c>
      <c r="H7" s="1"/>
      <c r="I7" s="1" t="s">
        <v>24</v>
      </c>
    </row>
    <row r="8" spans="1:9" ht="15.75" thickBot="1" x14ac:dyDescent="0.3">
      <c r="A8" s="7" t="s">
        <v>18</v>
      </c>
      <c r="B8" s="1">
        <f>VLOOKUP(E8,[1]Sheet1!$E:$H,4,0)</f>
        <v>103467</v>
      </c>
      <c r="C8" s="8" t="s">
        <v>21</v>
      </c>
      <c r="D8" s="2">
        <v>83270187</v>
      </c>
      <c r="E8" s="1" t="s">
        <v>30</v>
      </c>
      <c r="F8" s="1">
        <v>1000</v>
      </c>
      <c r="G8" s="5" t="s">
        <v>36</v>
      </c>
      <c r="H8" s="1"/>
      <c r="I8" s="1" t="s">
        <v>24</v>
      </c>
    </row>
    <row r="9" spans="1:9" x14ac:dyDescent="0.25">
      <c r="A9" s="7" t="s">
        <v>18</v>
      </c>
      <c r="B9" s="1" t="e">
        <f>VLOOKUP(E9,[1]Sheet1!$E:$H,4,0)</f>
        <v>#N/A</v>
      </c>
      <c r="C9" s="8" t="s">
        <v>22</v>
      </c>
      <c r="D9" s="11">
        <v>2011852</v>
      </c>
      <c r="E9" s="1" t="s">
        <v>23</v>
      </c>
      <c r="F9" s="7">
        <v>3000</v>
      </c>
      <c r="G9" s="5" t="s">
        <v>35</v>
      </c>
      <c r="H9" s="4"/>
      <c r="I9" s="1" t="s">
        <v>24</v>
      </c>
    </row>
    <row r="10" spans="1:9" x14ac:dyDescent="0.25">
      <c r="A10" s="7" t="s">
        <v>18</v>
      </c>
      <c r="B10" s="1">
        <f>VLOOKUP(E10,[1]Sheet1!$E:$H,4,0)</f>
        <v>102818</v>
      </c>
      <c r="C10" s="2" t="s">
        <v>19</v>
      </c>
      <c r="D10" s="10" t="s">
        <v>25</v>
      </c>
      <c r="E10" s="1" t="s">
        <v>31</v>
      </c>
      <c r="F10" s="7">
        <v>3000</v>
      </c>
      <c r="G10" s="5" t="s">
        <v>33</v>
      </c>
      <c r="H10" s="1"/>
      <c r="I10" s="1"/>
    </row>
    <row r="11" spans="1:9" x14ac:dyDescent="0.25">
      <c r="A11" s="7" t="s">
        <v>18</v>
      </c>
      <c r="B11" s="1">
        <f>VLOOKUP(E11,[1]Sheet1!$E:$H,4,0)</f>
        <v>102818</v>
      </c>
      <c r="C11" s="8" t="s">
        <v>26</v>
      </c>
      <c r="D11" s="10" t="s">
        <v>25</v>
      </c>
      <c r="E11" s="1" t="s">
        <v>31</v>
      </c>
      <c r="F11" s="7">
        <v>2000</v>
      </c>
      <c r="G11" s="5" t="s">
        <v>34</v>
      </c>
      <c r="H11" s="1"/>
      <c r="I11" s="1"/>
    </row>
  </sheetData>
  <autoFilter ref="A1:I11" xr:uid="{F35EB766-5E85-41FD-9437-4EB6FA9729C3}"/>
  <hyperlinks>
    <hyperlink ref="G5" r:id="rId1" display="javascript:showHyperlinkTrans('264258915-1');" xr:uid="{E010933F-E77E-487C-A71E-BA7B872B3120}"/>
    <hyperlink ref="G9" r:id="rId2" display="javascript:showHyperlinkTrans('268801041-1');" xr:uid="{2788FCA7-94B5-478B-A4EB-9C51171DF8E4}"/>
    <hyperlink ref="G6" r:id="rId3" display="javascript:showHyperlinkTrans('255614882-1');" xr:uid="{F148492A-6BEB-4126-937B-C13A53675A01}"/>
    <hyperlink ref="G7" r:id="rId4" display="javascript:showHyperlinkTrans('255614882-1');" xr:uid="{86C4980F-FFEA-45EC-8F7F-2EB54D8F9A1D}"/>
    <hyperlink ref="G8" r:id="rId5" display="javascript:showHyperlinkTrans('255614882-1');" xr:uid="{FE07F8C7-70EB-4BB4-96CE-5E56C6EA1F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2026-10-19T04:57:04Z</dcterms:modified>
</cp:coreProperties>
</file>