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445CB0E-B382-40DA-9880-6B3EFDF18B02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Sheet4!$A$1:$J$14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3" i="6"/>
  <c r="B4" i="6"/>
  <c r="B5" i="6"/>
  <c r="B2" i="6"/>
</calcChain>
</file>

<file path=xl/sharedStrings.xml><?xml version="1.0" encoding="utf-8"?>
<sst xmlns="http://schemas.openxmlformats.org/spreadsheetml/2006/main" count="37" uniqueCount="33">
  <si>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</si>
  <si>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</si>
  <si>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</si>
  <si>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</si>
  <si>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</si>
  <si>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</si>
  <si>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</si>
  <si>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</si>
  <si>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</si>
  <si>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</si>
  <si>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XDH01300</t>
  </si>
  <si>
    <t>TV M03 B06 104.7 AL</t>
  </si>
  <si>
    <t>012627SO0107</t>
  </si>
  <si>
    <t>WTL M03 B02 28 OEM</t>
  </si>
  <si>
    <t>C9120347</t>
  </si>
  <si>
    <t>ESCORT KUBOTA</t>
  </si>
  <si>
    <t>14.10.2026</t>
  </si>
  <si>
    <t>AL ENNORE</t>
  </si>
  <si>
    <t>TAFE DODDABALAPURA</t>
  </si>
  <si>
    <t>2814C01301</t>
  </si>
  <si>
    <t>AL HOSUR 1</t>
  </si>
  <si>
    <t>WP M04 B01 J75A TF</t>
  </si>
  <si>
    <t>X8H00300</t>
  </si>
  <si>
    <t>TS M05 B08 60 AL1</t>
  </si>
  <si>
    <t>BY AIR OM</t>
  </si>
  <si>
    <t>01SO0838</t>
  </si>
  <si>
    <t>012627SO0040</t>
  </si>
  <si>
    <t>01SO0834</t>
  </si>
  <si>
    <t>206012VE0B</t>
  </si>
  <si>
    <t>QTV M03 B10 93.5 ALV</t>
  </si>
  <si>
    <t>TRADING CONVERSION FROM 93.5AL</t>
  </si>
  <si>
    <t>AL HOSUR LCV</t>
  </si>
  <si>
    <t>01SO1016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</si>
</sst>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1" xfId="2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onclick=showHyperlinkTrans('172195309-1');" TargetMode="External"/><Relationship Id="rId2" Type="http://schemas.openxmlformats.org/officeDocument/2006/relationships/hyperlink" Target="javascript:onclick=showHyperlinkTrans('172203699-1');" TargetMode="External"/><Relationship Id="rId1" Type="http://schemas.openxmlformats.org/officeDocument/2006/relationships/hyperlink" Target="javascript:showHyperlinkTrans('258486099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4"/>
  <sheetViews>
    <sheetView tabSelected="1" workbookViewId="0">
      <selection activeCell="D8" sqref="D8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7" t="s">
        <v>8</v>
      </c>
      <c r="K1" s="5"/>
      <c r="L1" s="4"/>
      <c r="M1" s="3"/>
    </row>
    <row r="2" spans="1:13" x14ac:dyDescent="0.25">
      <c r="A2" s="2" t="s">
        <v>16</v>
      </c>
      <c r="B2" s="2">
        <f>VLOOKUP(E2,[1]Sheet1!$E:$H,4,0)</f>
        <v>104403</v>
      </c>
      <c r="C2" s="11" t="s">
        <v>15</v>
      </c>
      <c r="D2" s="2" t="s">
        <v>14</v>
      </c>
      <c r="E2" s="8" t="s">
        <v>13</v>
      </c>
      <c r="F2" s="12">
        <v>1400</v>
      </c>
      <c r="G2" s="2" t="s">
        <v>12</v>
      </c>
      <c r="H2" s="2"/>
      <c r="I2" s="2" t="s">
        <v>24</v>
      </c>
    </row>
    <row r="3" spans="1:13" x14ac:dyDescent="0.25">
      <c r="A3" s="2" t="s">
        <v>16</v>
      </c>
      <c r="B3" s="2">
        <f>VLOOKUP(E3,[1]Sheet1!$E:$H,4,0)</f>
        <v>102185</v>
      </c>
      <c r="C3" s="11" t="s">
        <v>17</v>
      </c>
      <c r="D3" s="2" t="s">
        <v>10</v>
      </c>
      <c r="E3" s="12" t="s">
        <v>11</v>
      </c>
      <c r="F3" s="12">
        <v>100</v>
      </c>
      <c r="G3" s="2" t="s">
        <v>25</v>
      </c>
      <c r="H3" s="2"/>
      <c r="I3" s="2"/>
    </row>
    <row r="4" spans="1:13" x14ac:dyDescent="0.25">
      <c r="A4" s="2" t="s">
        <v>16</v>
      </c>
      <c r="B4" s="2">
        <f>VLOOKUP(E4,[1]Sheet1!$E:$H,4,0)</f>
        <v>100283</v>
      </c>
      <c r="C4" s="11" t="s">
        <v>18</v>
      </c>
      <c r="D4" s="2" t="s">
        <v>19</v>
      </c>
      <c r="E4" s="12" t="s">
        <v>21</v>
      </c>
      <c r="F4" s="12">
        <v>15000</v>
      </c>
      <c r="G4" s="2" t="s">
        <v>26</v>
      </c>
      <c r="H4" s="2"/>
      <c r="I4" s="2"/>
    </row>
    <row r="5" spans="1:13" x14ac:dyDescent="0.25">
      <c r="A5" s="2" t="s">
        <v>16</v>
      </c>
      <c r="B5" s="2">
        <f>VLOOKUP(E5,[1]Sheet1!$E:$H,4,0)</f>
        <v>100717</v>
      </c>
      <c r="C5" s="11" t="s">
        <v>20</v>
      </c>
      <c r="D5" s="12" t="s">
        <v>22</v>
      </c>
      <c r="E5" s="12" t="s">
        <v>23</v>
      </c>
      <c r="F5" s="12">
        <v>1000</v>
      </c>
      <c r="G5" s="2" t="s">
        <v>27</v>
      </c>
      <c r="H5" s="2"/>
      <c r="I5" s="2"/>
    </row>
    <row r="6" spans="1:13" x14ac:dyDescent="0.25">
      <c r="A6" s="2" t="s">
        <v>16</v>
      </c>
      <c r="B6" s="2">
        <f>VLOOKUP(E6,[1]Sheet1!$E:$H,4,0)</f>
        <v>100866</v>
      </c>
      <c r="C6" s="6" t="s">
        <v>31</v>
      </c>
      <c r="D6" s="2" t="s">
        <v>28</v>
      </c>
      <c r="E6" s="2" t="s">
        <v>29</v>
      </c>
      <c r="F6" s="12">
        <v>400</v>
      </c>
      <c r="G6" s="2" t="s">
        <v>32</v>
      </c>
      <c r="H6" s="2"/>
      <c r="I6" s="14" t="s">
        <v>30</v>
      </c>
    </row>
    <row r="7" spans="1:13" x14ac:dyDescent="0.25">
      <c r="A7" s="2"/>
      <c r="B7" s="2"/>
      <c r="C7" s="11"/>
      <c r="D7" s="2"/>
      <c r="E7" s="2"/>
      <c r="F7" s="12"/>
      <c r="G7" s="2"/>
      <c r="H7" s="2"/>
      <c r="I7" s="2"/>
    </row>
    <row r="8" spans="1:13" x14ac:dyDescent="0.25">
      <c r="A8" s="2"/>
      <c r="B8" s="2"/>
      <c r="C8" s="11"/>
      <c r="D8" s="2"/>
      <c r="E8" s="2"/>
      <c r="F8" s="12"/>
      <c r="G8" s="2"/>
      <c r="H8" s="2"/>
      <c r="I8" s="2"/>
    </row>
    <row r="9" spans="1:13" x14ac:dyDescent="0.25">
      <c r="A9" s="2"/>
      <c r="B9" s="2"/>
      <c r="C9" s="11"/>
      <c r="D9" s="2"/>
      <c r="E9" s="10"/>
      <c r="F9" s="12"/>
      <c r="G9" s="2"/>
      <c r="H9" s="2"/>
      <c r="I9" s="2"/>
    </row>
    <row r="10" spans="1:13" x14ac:dyDescent="0.25">
      <c r="A10" s="2"/>
      <c r="B10" s="2"/>
      <c r="C10" s="11"/>
      <c r="D10" s="2"/>
      <c r="E10" s="8"/>
      <c r="F10" s="12"/>
      <c r="G10" s="2"/>
      <c r="H10" s="13"/>
      <c r="I10" s="2"/>
    </row>
    <row r="11" spans="1:13" x14ac:dyDescent="0.25">
      <c r="A11" s="2"/>
      <c r="B11" s="2"/>
      <c r="C11" s="11"/>
      <c r="D11" s="2"/>
      <c r="E11" s="8"/>
      <c r="F11" s="12"/>
      <c r="G11" s="2"/>
      <c r="H11" s="13"/>
      <c r="I11" s="2"/>
    </row>
    <row r="12" spans="1:13" x14ac:dyDescent="0.25">
      <c r="A12" s="2"/>
      <c r="B12" s="2"/>
      <c r="C12" s="11"/>
      <c r="D12" s="2"/>
      <c r="E12" s="2"/>
      <c r="F12" s="12"/>
      <c r="G12" s="2"/>
      <c r="H12" s="3"/>
      <c r="I12" s="3"/>
    </row>
    <row r="13" spans="1:13" x14ac:dyDescent="0.25">
      <c r="A13" s="2"/>
      <c r="B13" s="2"/>
      <c r="C13" s="11"/>
      <c r="D13" s="2"/>
      <c r="E13" s="9"/>
      <c r="F13" s="12"/>
      <c r="G13" s="2"/>
      <c r="H13" s="3"/>
      <c r="I13" s="3"/>
    </row>
    <row r="14" spans="1:13" x14ac:dyDescent="0.25">
      <c r="A14" s="2"/>
      <c r="B14" s="2"/>
      <c r="C14" s="11"/>
      <c r="D14" s="2"/>
      <c r="E14" s="9"/>
      <c r="F14" s="12"/>
      <c r="G14" s="2"/>
      <c r="H14" s="3"/>
      <c r="I14" s="3"/>
    </row>
  </sheetData>
  <autoFilter ref="A1:J14" xr:uid="{F35EB766-5E85-41FD-9437-4EB6FA9729C3}"/>
  <conditionalFormatting sqref="E9">
    <cfRule type="duplicateValues" dxfId="6" priority="7"/>
  </conditionalFormatting>
  <conditionalFormatting sqref="D6">
    <cfRule type="duplicateValues" dxfId="5" priority="5"/>
  </conditionalFormatting>
  <conditionalFormatting sqref="D6">
    <cfRule type="duplicateValues" dxfId="4" priority="6"/>
  </conditionalFormatting>
  <conditionalFormatting sqref="D6">
    <cfRule type="duplicateValues" dxfId="3" priority="1"/>
    <cfRule type="duplicateValues" dxfId="2" priority="2"/>
    <cfRule type="duplicateValues" dxfId="1" priority="3"/>
    <cfRule type="duplicateValues" dxfId="0" priority="4"/>
  </conditionalFormatting>
  <hyperlinks>
    <hyperlink ref="G2" r:id="rId1" display="javascript:showHyperlinkTrans('258486099-1');" xr:uid="{74D2174A-55CB-46E5-9A6C-ADFA46C64F81}"/>
    <hyperlink ref="G3" r:id="rId2" display="javascript:onclick=showHyperlinkTrans('172203699-1');" xr:uid="{21EEDF5F-9AE4-4F3F-A5AA-D74375742F8A}"/>
    <hyperlink ref="G5" r:id="rId3" display="javascript:onclick=showHyperlinkTrans('172195309-1');" xr:uid="{A6C98D14-0FF5-4EA2-835A-CDE85D5DDE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2026-10-14T04:53:46Z</dcterms:modified>
</cp:coreProperties>
</file>