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1E69E13-C64F-4712-95D6-FEE598A536AF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Sheet4!$A$1:$J$12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2" i="6"/>
</calcChain>
</file>

<file path=xl/sharedStrings.xml><?xml version="1.0" encoding="utf-8"?>
<sst xmlns="http://schemas.openxmlformats.org/spreadsheetml/2006/main" count="62" uniqueCount="43">
  <si>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</si>
  <si>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</si>
  <si>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</si>
  <si>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</si>
  <si>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</si>
  <si>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</si>
  <si>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</si>
  <si>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</si>
  <si>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</si>
  <si>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</si>
  <si>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</si>
  <si>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012526SO0860</t>
  </si>
  <si>
    <t>TAFE MOTORS</t>
  </si>
  <si>
    <t>XDH01300</t>
  </si>
  <si>
    <t>WP M04 B01 J2X OEM</t>
  </si>
  <si>
    <t>TV M03 B06 104.7 AL</t>
  </si>
  <si>
    <t>012627SO0256</t>
  </si>
  <si>
    <t>09.09.2026</t>
  </si>
  <si>
    <t>BY AIR OM</t>
  </si>
  <si>
    <t>AL Alwar</t>
  </si>
  <si>
    <t>X8H13000</t>
  </si>
  <si>
    <t>AL HOSUR 2</t>
  </si>
  <si>
    <t>X8H18300</t>
  </si>
  <si>
    <t>XDH00600</t>
  </si>
  <si>
    <t>2.6851.002.0</t>
  </si>
  <si>
    <t>SAME DEUTZ</t>
  </si>
  <si>
    <t>BULL MACHINE</t>
  </si>
  <si>
    <t>012627SO0236</t>
  </si>
  <si>
    <t>TAFE EICHER ENGINE</t>
  </si>
  <si>
    <t>012627SO0039</t>
  </si>
  <si>
    <t>WTL M03 B03 J3 EE</t>
  </si>
  <si>
    <t>WTL M03 B03 312 AL NEW</t>
  </si>
  <si>
    <t>SFS M09 B11 J2X AL</t>
  </si>
  <si>
    <t>TV M03 B10 95.07 AL</t>
  </si>
  <si>
    <t>FS M09 B11 J32A SDF</t>
  </si>
  <si>
    <t>WP M01 B01 J4X</t>
  </si>
  <si>
    <t>WP M01 B01 J3X</t>
  </si>
  <si>
    <t>012526SO0839</t>
  </si>
  <si>
    <t>012526SO0895</t>
  </si>
  <si>
    <t>01SO1070</t>
  </si>
  <si>
    <t>01SO0999</t>
  </si>
  <si>
    <t>01SO1106</t>
  </si>
  <si>
    <t>01SO0222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</si>
</sst>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0" fillId="0" borderId="2" xfId="0" applyBorder="1"/>
    <xf numFmtId="0" fontId="0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0" fillId="0" borderId="1" xfId="2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3" borderId="3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188149325-1');" TargetMode="External"/><Relationship Id="rId2" Type="http://schemas.openxmlformats.org/officeDocument/2006/relationships/hyperlink" Target="javascript:showHyperlinkTrans('251216103-1');" TargetMode="External"/><Relationship Id="rId1" Type="http://schemas.openxmlformats.org/officeDocument/2006/relationships/hyperlink" Target="javascript:showHyperlinkTrans('255614882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2"/>
  <sheetViews>
    <sheetView tabSelected="1" topLeftCell="C1" workbookViewId="0">
      <selection activeCell="C5" sqref="C5"/>
    </sheetView>
  </sheetViews>
  <sheetFormatPr defaultRowHeight="15" x14ac:dyDescent="0.25"/>
  <cols>
    <col min="1" max="1" width="14.5703125" customWidth="1"/>
    <col min="2" max="2" width="12.140625" customWidth="1"/>
    <col min="3" max="3" width="36.28515625" bestFit="1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/>
      <c r="L1" s="4"/>
      <c r="M1" s="4"/>
    </row>
    <row r="2" spans="1:13" x14ac:dyDescent="0.25">
      <c r="A2" s="2" t="s">
        <v>17</v>
      </c>
      <c r="B2" s="2">
        <f>VLOOKUP(E2,[1]Sheet1!$E:$H,4,0)</f>
        <v>102185</v>
      </c>
      <c r="C2" s="5" t="s">
        <v>10</v>
      </c>
      <c r="D2" s="3" t="s">
        <v>13</v>
      </c>
      <c r="E2" s="2" t="s">
        <v>15</v>
      </c>
      <c r="F2" s="2">
        <v>300</v>
      </c>
      <c r="G2" s="2" t="s">
        <v>16</v>
      </c>
      <c r="H2" s="2"/>
      <c r="I2" s="15" t="s">
        <v>18</v>
      </c>
      <c r="J2" s="2"/>
    </row>
    <row r="3" spans="1:13" x14ac:dyDescent="0.25">
      <c r="A3" s="2" t="s">
        <v>17</v>
      </c>
      <c r="B3" s="2" t="e">
        <f>VLOOKUP(E3,[1]Sheet1!$E:$H,4,0)</f>
        <v>#N/A</v>
      </c>
      <c r="C3" s="5" t="s">
        <v>19</v>
      </c>
      <c r="D3" s="5" t="s">
        <v>20</v>
      </c>
      <c r="E3" s="2" t="s">
        <v>31</v>
      </c>
      <c r="F3" s="2">
        <v>2000</v>
      </c>
      <c r="G3" s="2" t="s">
        <v>37</v>
      </c>
      <c r="H3" s="2"/>
      <c r="I3" s="2"/>
      <c r="J3" s="2"/>
    </row>
    <row r="4" spans="1:13" x14ac:dyDescent="0.25">
      <c r="A4" s="2" t="s">
        <v>17</v>
      </c>
      <c r="B4" s="2" t="e">
        <f>VLOOKUP(E4,[1]Sheet1!$E:$H,4,0)</f>
        <v>#N/A</v>
      </c>
      <c r="C4" s="7" t="s">
        <v>21</v>
      </c>
      <c r="D4" s="8" t="s">
        <v>20</v>
      </c>
      <c r="E4" s="2" t="s">
        <v>31</v>
      </c>
      <c r="F4" s="2">
        <v>1500</v>
      </c>
      <c r="G4" s="2" t="s">
        <v>38</v>
      </c>
      <c r="H4" s="2"/>
      <c r="I4" s="2"/>
      <c r="J4" s="2"/>
    </row>
    <row r="5" spans="1:13" x14ac:dyDescent="0.25">
      <c r="A5" s="2" t="s">
        <v>17</v>
      </c>
      <c r="B5" s="2">
        <f>VLOOKUP(E5,[1]Sheet1!$E:$H,4,0)</f>
        <v>102818</v>
      </c>
      <c r="C5" s="9" t="s">
        <v>10</v>
      </c>
      <c r="D5" s="2" t="s">
        <v>22</v>
      </c>
      <c r="E5" s="2" t="s">
        <v>32</v>
      </c>
      <c r="F5" s="2">
        <v>1000</v>
      </c>
      <c r="G5" s="2" t="s">
        <v>39</v>
      </c>
      <c r="H5" s="2"/>
      <c r="I5" s="2"/>
      <c r="J5" s="2"/>
    </row>
    <row r="6" spans="1:13" x14ac:dyDescent="0.25">
      <c r="A6" s="10" t="s">
        <v>17</v>
      </c>
      <c r="B6" s="2">
        <f>VLOOKUP(E6,[1]Sheet1!$E:$H,4,0)</f>
        <v>101706</v>
      </c>
      <c r="C6" s="7" t="s">
        <v>21</v>
      </c>
      <c r="D6" s="8" t="s">
        <v>23</v>
      </c>
      <c r="E6" s="2" t="s">
        <v>33</v>
      </c>
      <c r="F6" s="10">
        <v>400</v>
      </c>
      <c r="G6" s="2" t="s">
        <v>40</v>
      </c>
      <c r="H6" s="2"/>
      <c r="I6" s="2"/>
      <c r="J6" s="2"/>
    </row>
    <row r="7" spans="1:13" ht="15.75" thickBot="1" x14ac:dyDescent="0.3">
      <c r="A7" s="10" t="s">
        <v>17</v>
      </c>
      <c r="B7" s="2">
        <f>VLOOKUP(E7,[1]Sheet1!$E:$H,4,0)</f>
        <v>101706</v>
      </c>
      <c r="C7" s="9" t="s">
        <v>10</v>
      </c>
      <c r="D7" s="10" t="s">
        <v>23</v>
      </c>
      <c r="E7" s="2" t="s">
        <v>33</v>
      </c>
      <c r="F7" s="10">
        <v>400</v>
      </c>
      <c r="G7" s="2" t="s">
        <v>41</v>
      </c>
      <c r="H7" s="2"/>
      <c r="I7" s="2"/>
      <c r="J7" s="2"/>
    </row>
    <row r="8" spans="1:13" x14ac:dyDescent="0.25">
      <c r="A8" s="10" t="s">
        <v>17</v>
      </c>
      <c r="B8" s="2">
        <f>VLOOKUP(E8,[1]Sheet1!$E:$H,4,0)</f>
        <v>103796</v>
      </c>
      <c r="C8" s="9" t="s">
        <v>25</v>
      </c>
      <c r="D8" s="2" t="s">
        <v>24</v>
      </c>
      <c r="E8" s="2" t="s">
        <v>34</v>
      </c>
      <c r="F8" s="10">
        <v>5500</v>
      </c>
      <c r="G8" s="2" t="s">
        <v>42</v>
      </c>
      <c r="H8" s="12"/>
      <c r="I8" s="2"/>
      <c r="J8" s="2"/>
    </row>
    <row r="9" spans="1:13" x14ac:dyDescent="0.25">
      <c r="A9" s="10" t="s">
        <v>17</v>
      </c>
      <c r="B9" s="2" t="e">
        <f>VLOOKUP(E9,[1]Sheet1!$E:$H,4,0)</f>
        <v>#N/A</v>
      </c>
      <c r="C9" s="9" t="s">
        <v>26</v>
      </c>
      <c r="D9" s="2">
        <v>2003512</v>
      </c>
      <c r="E9" s="11" t="s">
        <v>35</v>
      </c>
      <c r="F9" s="10">
        <v>1500</v>
      </c>
      <c r="G9" s="2" t="s">
        <v>27</v>
      </c>
      <c r="H9" s="2"/>
      <c r="I9" s="2"/>
      <c r="J9" s="2"/>
    </row>
    <row r="10" spans="1:13" x14ac:dyDescent="0.25">
      <c r="A10" s="10" t="s">
        <v>17</v>
      </c>
      <c r="B10" s="2" t="e">
        <f>VLOOKUP(E10,[1]Sheet1!$E:$H,4,0)</f>
        <v>#N/A</v>
      </c>
      <c r="C10" s="9" t="s">
        <v>26</v>
      </c>
      <c r="D10" s="11">
        <v>2003512</v>
      </c>
      <c r="E10" s="11" t="s">
        <v>36</v>
      </c>
      <c r="F10" s="10">
        <v>8000</v>
      </c>
      <c r="G10" s="2" t="s">
        <v>27</v>
      </c>
      <c r="H10" s="2"/>
      <c r="I10" s="2"/>
      <c r="J10" s="2"/>
    </row>
    <row r="11" spans="1:13" x14ac:dyDescent="0.25">
      <c r="A11" s="10" t="s">
        <v>17</v>
      </c>
      <c r="B11" s="2">
        <f>VLOOKUP(E11,[1]Sheet1!$E:$H,4,0)</f>
        <v>100949</v>
      </c>
      <c r="C11" s="9" t="s">
        <v>12</v>
      </c>
      <c r="D11" s="3">
        <v>96138550</v>
      </c>
      <c r="E11" s="3" t="s">
        <v>14</v>
      </c>
      <c r="F11" s="2">
        <v>12000</v>
      </c>
      <c r="G11" s="2" t="s">
        <v>11</v>
      </c>
      <c r="H11" s="2"/>
      <c r="I11" s="2"/>
      <c r="J11" s="2"/>
    </row>
    <row r="12" spans="1:13" x14ac:dyDescent="0.25">
      <c r="A12" s="10" t="s">
        <v>17</v>
      </c>
      <c r="B12" s="2">
        <f>VLOOKUP(E12,[1]Sheet1!$E:$H,4,0)</f>
        <v>103467</v>
      </c>
      <c r="C12" s="9" t="s">
        <v>28</v>
      </c>
      <c r="D12" s="2">
        <v>83270187</v>
      </c>
      <c r="E12" s="13" t="s">
        <v>30</v>
      </c>
      <c r="F12" s="2">
        <v>500</v>
      </c>
      <c r="G12" s="2" t="s">
        <v>29</v>
      </c>
      <c r="H12" s="14"/>
      <c r="I12" s="2"/>
      <c r="J12" s="2"/>
    </row>
  </sheetData>
  <autoFilter ref="A1:J12" xr:uid="{F35EB766-5E85-41FD-9437-4EB6FA9729C3}"/>
  <conditionalFormatting sqref="E11">
    <cfRule type="duplicateValues" dxfId="0" priority="1"/>
  </conditionalFormatting>
  <hyperlinks>
    <hyperlink ref="G12" r:id="rId1" display="javascript:showHyperlinkTrans('255614882-1');" xr:uid="{05591352-EBF3-4B9B-9066-F70F0487FD2E}"/>
    <hyperlink ref="G4" r:id="rId2" display="javascript:showHyperlinkTrans('251216103-1');" xr:uid="{CAED093D-82B7-4B62-8254-D5D39975D7F1}"/>
    <hyperlink ref="G8" r:id="rId3" display="javascript:showHyperlinkTrans('188149325-1');" xr:uid="{B190A017-6C86-479C-86BD-A509DCF975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2026-09-09T05:02:36Z</dcterms:modified>
</cp:coreProperties>
</file>