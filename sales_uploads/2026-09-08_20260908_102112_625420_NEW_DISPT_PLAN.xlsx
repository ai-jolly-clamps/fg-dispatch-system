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266842D-7A5D-42F9-98D1-7403BE008C47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Sheet4!$A$1:$J$15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2" i="6"/>
</calcChain>
</file>

<file path=xl/sharedStrings.xml><?xml version="1.0" encoding="utf-8"?>
<sst xmlns="http://schemas.openxmlformats.org/spreadsheetml/2006/main" count="75" uniqueCount="37">
  <si>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</si>
  <si>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</si>
  <si>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</si>
  <si>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</si>
  <si>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</si>
  <si>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</si>
  <si>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</si>
  <si>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</si>
  <si>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</si>
  <si>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</si>
  <si>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PNT</t>
  </si>
  <si>
    <t>012526SO0860</t>
  </si>
  <si>
    <t>TAFE MOTORS</t>
  </si>
  <si>
    <t>CAT</t>
  </si>
  <si>
    <t>TS M02 B08 70 CAT</t>
  </si>
  <si>
    <t>012526SO0945</t>
  </si>
  <si>
    <t>TS M02 B08 104 CAT</t>
  </si>
  <si>
    <t>012627SO0011</t>
  </si>
  <si>
    <t>TS M02 B08 138 CAT</t>
  </si>
  <si>
    <t>012627SO0004</t>
  </si>
  <si>
    <t>FM INDIA</t>
  </si>
  <si>
    <t>XDH01300</t>
  </si>
  <si>
    <t>AL HOSUR 1</t>
  </si>
  <si>
    <t>08.09.2026</t>
  </si>
  <si>
    <t>1410C02801</t>
  </si>
  <si>
    <t>TAFE DINDIGUL</t>
  </si>
  <si>
    <t>WP M04 B01 J45A OEM</t>
  </si>
  <si>
    <t>TAFE M0TORS</t>
  </si>
  <si>
    <t>WP M04 B01 J2X OEM</t>
  </si>
  <si>
    <t>TV M03 B06 104.7 AL</t>
  </si>
  <si>
    <t>WP M04 B15 J45A TF</t>
  </si>
  <si>
    <t>012627SO0256</t>
  </si>
  <si>
    <t>01SO0830</t>
  </si>
  <si>
    <t>012526SO0614</t>
  </si>
  <si>
    <t>WP M04 B01 J3X TF</t>
  </si>
  <si>
    <t>WP M04 B01 J137S TF</t>
  </si>
  <si>
    <t>WP M04 B01 J00M 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</si>
</sst>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9"/>
      <color rgb="FF000000"/>
      <name val="Arial"/>
      <family val="2"/>
    </font>
    <font>
      <sz val="11"/>
      <name val="Calibri"/>
      <family val="2"/>
    </font>
    <font>
      <sz val="12"/>
      <color rgb="FF000000"/>
      <name val="Arial"/>
      <family val="2"/>
    </font>
    <font>
      <sz val="12"/>
      <color rgb="FF000000"/>
      <name val="Aptos Narrow"/>
      <family val="2"/>
    </font>
    <font>
      <sz val="10"/>
      <color rgb="FF000000"/>
      <name val="Times New Roman"/>
      <family val="1"/>
    </font>
    <font>
      <sz val="10"/>
      <color rgb="FF000000"/>
      <name val="Aptos"/>
      <family val="2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1" applyFont="1" applyBorder="1" applyAlignment="1">
      <alignment horizontal="center" vertical="center"/>
    </xf>
    <xf numFmtId="0" fontId="2" fillId="0" borderId="1" xfId="2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2" fillId="0" borderId="1" xfId="2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/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5"/>
  <sheetViews>
    <sheetView tabSelected="1" workbookViewId="0">
      <selection activeCell="D17" sqref="D17"/>
    </sheetView>
  </sheetViews>
  <sheetFormatPr defaultRowHeight="15" x14ac:dyDescent="0.25"/>
  <cols>
    <col min="1" max="1" width="14.5703125" customWidth="1"/>
    <col min="2" max="2" width="12.140625" customWidth="1"/>
    <col min="3" max="3" width="36.28515625" bestFit="1" customWidth="1"/>
    <col min="4" max="5" width="25.5703125" bestFit="1" customWidth="1"/>
    <col min="6" max="6" width="15" bestFit="1" customWidth="1"/>
    <col min="7" max="7" width="18.85546875" customWidth="1"/>
    <col min="8" max="8" width="17.7109375" customWidth="1"/>
    <col min="9" max="9" width="2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9"/>
      <c r="L1" s="4"/>
      <c r="M1" s="4"/>
    </row>
    <row r="2" spans="1:13" ht="15.75" x14ac:dyDescent="0.25">
      <c r="A2" s="2" t="s">
        <v>23</v>
      </c>
      <c r="B2" s="2">
        <f>VLOOKUP(E2,[1]Sheet1!$E:$H,4,0)</f>
        <v>102844</v>
      </c>
      <c r="C2" s="6" t="s">
        <v>13</v>
      </c>
      <c r="D2" s="9">
        <v>2094577</v>
      </c>
      <c r="E2" s="5" t="s">
        <v>14</v>
      </c>
      <c r="F2" s="8">
        <v>1050</v>
      </c>
      <c r="G2" s="8" t="s">
        <v>15</v>
      </c>
      <c r="H2" s="2"/>
      <c r="I2" s="8" t="s">
        <v>20</v>
      </c>
      <c r="J2" s="8"/>
      <c r="K2" s="15"/>
      <c r="L2" s="8"/>
      <c r="M2" s="10"/>
    </row>
    <row r="3" spans="1:13" x14ac:dyDescent="0.25">
      <c r="A3" s="2" t="s">
        <v>23</v>
      </c>
      <c r="B3" s="2">
        <f>VLOOKUP(E3,[1]Sheet1!$E:$H,4,0)</f>
        <v>102563</v>
      </c>
      <c r="C3" s="6" t="s">
        <v>13</v>
      </c>
      <c r="D3" s="8">
        <v>2087448</v>
      </c>
      <c r="E3" s="5" t="s">
        <v>16</v>
      </c>
      <c r="F3" s="8">
        <v>2880</v>
      </c>
      <c r="G3" s="9" t="s">
        <v>17</v>
      </c>
      <c r="H3" s="2"/>
      <c r="I3" s="8" t="s">
        <v>20</v>
      </c>
      <c r="J3" s="11"/>
      <c r="K3" s="16"/>
      <c r="L3" s="11"/>
      <c r="M3" s="12"/>
    </row>
    <row r="4" spans="1:13" x14ac:dyDescent="0.25">
      <c r="A4" s="2" t="s">
        <v>23</v>
      </c>
      <c r="B4" s="2">
        <f>VLOOKUP(E4,[1]Sheet1!$E:$H,4,0)</f>
        <v>102563</v>
      </c>
      <c r="C4" s="6" t="s">
        <v>13</v>
      </c>
      <c r="D4" s="8">
        <v>2087448</v>
      </c>
      <c r="E4" s="5" t="s">
        <v>16</v>
      </c>
      <c r="F4" s="8">
        <v>2880</v>
      </c>
      <c r="G4" s="9" t="s">
        <v>17</v>
      </c>
      <c r="H4" s="2"/>
      <c r="I4" s="8" t="s">
        <v>20</v>
      </c>
      <c r="J4" s="8"/>
      <c r="K4" s="15"/>
      <c r="L4" s="11"/>
      <c r="M4" s="12"/>
    </row>
    <row r="5" spans="1:13" ht="15.75" x14ac:dyDescent="0.25">
      <c r="A5" s="2" t="s">
        <v>23</v>
      </c>
      <c r="B5" s="2">
        <f>VLOOKUP(E5,[1]Sheet1!$E:$H,4,0)</f>
        <v>102606</v>
      </c>
      <c r="C5" s="6" t="s">
        <v>13</v>
      </c>
      <c r="D5" s="13">
        <v>2564448</v>
      </c>
      <c r="E5" s="5" t="s">
        <v>18</v>
      </c>
      <c r="F5" s="8">
        <v>360</v>
      </c>
      <c r="G5" s="9" t="s">
        <v>19</v>
      </c>
      <c r="H5" s="2"/>
      <c r="I5" s="8" t="s">
        <v>20</v>
      </c>
      <c r="J5" s="8"/>
      <c r="K5" s="15"/>
      <c r="L5" s="8"/>
      <c r="M5" s="10"/>
    </row>
    <row r="6" spans="1:13" ht="15.75" x14ac:dyDescent="0.25">
      <c r="A6" s="2" t="s">
        <v>23</v>
      </c>
      <c r="B6" s="2">
        <f>VLOOKUP(E6,[1]Sheet1!$E:$H,4,0)</f>
        <v>102606</v>
      </c>
      <c r="C6" s="6" t="s">
        <v>13</v>
      </c>
      <c r="D6" s="13">
        <v>2564448</v>
      </c>
      <c r="E6" s="5" t="s">
        <v>18</v>
      </c>
      <c r="F6" s="8">
        <v>300</v>
      </c>
      <c r="G6" s="9" t="s">
        <v>19</v>
      </c>
      <c r="H6" s="2"/>
      <c r="I6" s="8" t="s">
        <v>20</v>
      </c>
      <c r="J6" s="8"/>
      <c r="K6" s="15"/>
      <c r="L6" s="8"/>
      <c r="M6" s="10"/>
    </row>
    <row r="7" spans="1:13" ht="15.75" x14ac:dyDescent="0.25">
      <c r="A7" s="2" t="s">
        <v>23</v>
      </c>
      <c r="B7" s="2">
        <f>VLOOKUP(E7,[1]Sheet1!$E:$H,4,0)</f>
        <v>102606</v>
      </c>
      <c r="C7" s="6" t="s">
        <v>13</v>
      </c>
      <c r="D7" s="13">
        <v>2564448</v>
      </c>
      <c r="E7" s="5" t="s">
        <v>18</v>
      </c>
      <c r="F7" s="8">
        <v>765</v>
      </c>
      <c r="G7" s="9" t="s">
        <v>19</v>
      </c>
      <c r="H7" s="2"/>
      <c r="I7" s="8" t="s">
        <v>20</v>
      </c>
      <c r="J7" s="8"/>
      <c r="K7" s="15"/>
      <c r="L7" s="8"/>
      <c r="M7" s="10"/>
    </row>
    <row r="8" spans="1:13" x14ac:dyDescent="0.25">
      <c r="A8" s="2" t="s">
        <v>23</v>
      </c>
      <c r="B8" s="2">
        <f>VLOOKUP(E8,[1]Sheet1!$E:$H,4,0)</f>
        <v>102185</v>
      </c>
      <c r="C8" s="3" t="s">
        <v>10</v>
      </c>
      <c r="D8" s="5" t="s">
        <v>21</v>
      </c>
      <c r="E8" s="5" t="s">
        <v>29</v>
      </c>
      <c r="F8" s="3">
        <v>500</v>
      </c>
      <c r="G8" s="9" t="s">
        <v>31</v>
      </c>
      <c r="H8" s="2"/>
      <c r="I8" s="2"/>
      <c r="J8" s="2"/>
    </row>
    <row r="9" spans="1:13" x14ac:dyDescent="0.25">
      <c r="A9" s="2" t="s">
        <v>23</v>
      </c>
      <c r="B9" s="2">
        <f>VLOOKUP(E9,[1]Sheet1!$E:$H,4,0)</f>
        <v>102185</v>
      </c>
      <c r="C9" s="6" t="s">
        <v>22</v>
      </c>
      <c r="D9" s="7" t="s">
        <v>21</v>
      </c>
      <c r="E9" s="5" t="s">
        <v>29</v>
      </c>
      <c r="F9" s="3">
        <v>400</v>
      </c>
      <c r="G9" s="9" t="s">
        <v>32</v>
      </c>
      <c r="H9" s="2"/>
      <c r="I9" s="2"/>
      <c r="J9" s="2"/>
    </row>
    <row r="10" spans="1:13" x14ac:dyDescent="0.25">
      <c r="A10" s="2" t="s">
        <v>23</v>
      </c>
      <c r="B10" s="2">
        <f>VLOOKUP(E10,[1]Sheet1!$E:$H,4,0)</f>
        <v>100282</v>
      </c>
      <c r="C10" s="2" t="s">
        <v>25</v>
      </c>
      <c r="D10" s="2" t="s">
        <v>24</v>
      </c>
      <c r="E10" s="14" t="s">
        <v>30</v>
      </c>
      <c r="F10" s="2">
        <v>4000</v>
      </c>
      <c r="G10" s="9" t="s">
        <v>33</v>
      </c>
      <c r="H10" s="2"/>
      <c r="I10" s="2"/>
      <c r="J10" s="2"/>
    </row>
    <row r="11" spans="1:13" x14ac:dyDescent="0.25">
      <c r="A11" s="2" t="s">
        <v>23</v>
      </c>
      <c r="B11" s="2">
        <f>VLOOKUP(E11,[1]Sheet1!$E:$H,4,0)</f>
        <v>102500</v>
      </c>
      <c r="C11" s="6" t="s">
        <v>12</v>
      </c>
      <c r="D11" s="3">
        <v>96138524</v>
      </c>
      <c r="E11" s="3" t="s">
        <v>36</v>
      </c>
      <c r="F11" s="2">
        <v>20000</v>
      </c>
      <c r="G11" s="9" t="s">
        <v>11</v>
      </c>
      <c r="H11" s="2"/>
      <c r="I11" s="2"/>
      <c r="J11" s="4"/>
    </row>
    <row r="12" spans="1:13" x14ac:dyDescent="0.25">
      <c r="A12" s="2" t="s">
        <v>23</v>
      </c>
      <c r="B12" s="2">
        <f>VLOOKUP(E12,[1]Sheet1!$E:$H,4,0)</f>
        <v>102721</v>
      </c>
      <c r="C12" s="17" t="s">
        <v>12</v>
      </c>
      <c r="D12" s="3">
        <v>96138585</v>
      </c>
      <c r="E12" s="3" t="s">
        <v>35</v>
      </c>
      <c r="F12" s="2">
        <v>10000</v>
      </c>
      <c r="G12" s="9" t="s">
        <v>11</v>
      </c>
      <c r="H12" s="2"/>
      <c r="I12" s="2"/>
      <c r="J12" s="4"/>
    </row>
    <row r="13" spans="1:13" x14ac:dyDescent="0.25">
      <c r="A13" s="2" t="s">
        <v>23</v>
      </c>
      <c r="B13" s="2">
        <f>VLOOKUP(E13,[1]Sheet1!$E:$H,4,0)</f>
        <v>101216</v>
      </c>
      <c r="C13" s="6" t="s">
        <v>27</v>
      </c>
      <c r="D13" s="3">
        <v>96138597</v>
      </c>
      <c r="E13" s="3" t="s">
        <v>26</v>
      </c>
      <c r="F13" s="2">
        <v>7000</v>
      </c>
      <c r="G13" s="9" t="s">
        <v>11</v>
      </c>
      <c r="H13" s="2"/>
      <c r="I13" s="2"/>
      <c r="J13" s="4"/>
    </row>
    <row r="14" spans="1:13" x14ac:dyDescent="0.25">
      <c r="A14" s="18" t="s">
        <v>23</v>
      </c>
      <c r="B14" s="2">
        <f>VLOOKUP(E14,[1]Sheet1!$E:$H,4,0)</f>
        <v>100949</v>
      </c>
      <c r="C14" s="17" t="s">
        <v>12</v>
      </c>
      <c r="D14" s="3">
        <v>96138550</v>
      </c>
      <c r="E14" s="3" t="s">
        <v>28</v>
      </c>
      <c r="F14" s="18">
        <v>15000</v>
      </c>
      <c r="G14" s="9" t="s">
        <v>11</v>
      </c>
      <c r="H14" s="4"/>
      <c r="I14" s="4"/>
      <c r="J14" s="4"/>
    </row>
    <row r="15" spans="1:13" x14ac:dyDescent="0.25">
      <c r="A15" s="18" t="s">
        <v>23</v>
      </c>
      <c r="B15" s="2">
        <f>VLOOKUP(E15,[1]Sheet1!$E:$H,4,0)</f>
        <v>102413</v>
      </c>
      <c r="C15" s="17" t="s">
        <v>12</v>
      </c>
      <c r="D15" s="3">
        <v>96138573</v>
      </c>
      <c r="E15" s="3" t="s">
        <v>34</v>
      </c>
      <c r="F15" s="18">
        <v>3000</v>
      </c>
      <c r="G15" s="9" t="s">
        <v>11</v>
      </c>
      <c r="H15" s="4"/>
      <c r="I15" s="4"/>
      <c r="J15" s="4"/>
    </row>
  </sheetData>
  <autoFilter ref="A1:J15" xr:uid="{F35EB766-5E85-41FD-9437-4EB6FA9729C3}"/>
  <conditionalFormatting sqref="E11">
    <cfRule type="duplicateValues" dxfId="4" priority="5"/>
  </conditionalFormatting>
  <conditionalFormatting sqref="E12">
    <cfRule type="duplicateValues" dxfId="3" priority="4"/>
  </conditionalFormatting>
  <conditionalFormatting sqref="E13">
    <cfRule type="duplicateValues" dxfId="2" priority="3"/>
  </conditionalFormatting>
  <conditionalFormatting sqref="E14">
    <cfRule type="duplicateValues" dxfId="1" priority="2"/>
  </conditionalFormatting>
  <conditionalFormatting sqref="E1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2026-09-08T04:50:53Z</dcterms:modified>
</cp:coreProperties>
</file>