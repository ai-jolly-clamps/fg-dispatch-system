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D17DC71-5157-4DF5-88CB-2E1F6E101718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Sheet4!$A$1:$J$19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3" i="6"/>
  <c r="B4" i="6"/>
  <c r="B5" i="6"/>
  <c r="B7" i="6"/>
  <c r="B8" i="6"/>
  <c r="B9" i="6"/>
  <c r="B10" i="6"/>
  <c r="B11" i="6"/>
  <c r="B12" i="6"/>
  <c r="B13" i="6"/>
  <c r="B14" i="6"/>
  <c r="B15" i="6"/>
  <c r="B16" i="6"/>
  <c r="B2" i="6"/>
</calcChain>
</file>

<file path=xl/sharedStrings.xml><?xml version="1.0" encoding="utf-8"?>
<sst xmlns="http://schemas.openxmlformats.org/spreadsheetml/2006/main" count="82" uniqueCount="51">
  <si>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</si>
  <si>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</si>
  <si>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</si>
  <si>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</si>
  <si>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</si>
  <si>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</si>
  <si>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</si>
  <si>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</si>
  <si>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</si>
  <si>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</si>
  <si>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</si>
  <si>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012526SO0860</t>
  </si>
  <si>
    <t>TAFE MOTORS</t>
  </si>
  <si>
    <t>XDH01300</t>
  </si>
  <si>
    <t>TV M03 B06 104.7 AL</t>
  </si>
  <si>
    <t>012627SO0256</t>
  </si>
  <si>
    <t>X8H13000</t>
  </si>
  <si>
    <t>X8H18300</t>
  </si>
  <si>
    <t>WTL M03 B03 312 AL NEW</t>
  </si>
  <si>
    <t>SFS M09 B11 J2X AL</t>
  </si>
  <si>
    <t>01SO1070</t>
  </si>
  <si>
    <t>WP M04 B01 J3</t>
  </si>
  <si>
    <t>10.09.2026</t>
  </si>
  <si>
    <t>WP M04 B01 J3X</t>
  </si>
  <si>
    <t>WP M04 B01 J2A</t>
  </si>
  <si>
    <t>2845C00901</t>
  </si>
  <si>
    <t>WP M04 B01 J4 TF</t>
  </si>
  <si>
    <t>TAFE DINDIGUL</t>
  </si>
  <si>
    <t>X8H20300</t>
  </si>
  <si>
    <t>HAB0030074</t>
  </si>
  <si>
    <t>RAYCHEM</t>
  </si>
  <si>
    <t>HAB0200443</t>
  </si>
  <si>
    <t>WP M04 B01 J90A RCM</t>
  </si>
  <si>
    <t>WP M04 B01 J3 RCM</t>
  </si>
  <si>
    <t>TX M05 B06 92 OEM</t>
  </si>
  <si>
    <t>PL-BP209</t>
  </si>
  <si>
    <t>PREMIER SEALS</t>
  </si>
  <si>
    <t>PL-BP210</t>
  </si>
  <si>
    <t>TX M05 B06 106 OEM</t>
  </si>
  <si>
    <t>TX M05 B06 138 OEM</t>
  </si>
  <si>
    <t>PL-BP214</t>
  </si>
  <si>
    <t>PL-BP284</t>
  </si>
  <si>
    <t>PL-BP315</t>
  </si>
  <si>
    <t>TX M05 B06 160 OEM</t>
  </si>
  <si>
    <t>TX M05 B06 144 OEM</t>
  </si>
  <si>
    <t>SFS M09 B11 J1X AL</t>
  </si>
  <si>
    <t>012526SO0614</t>
  </si>
  <si>
    <t>01SO0981</t>
  </si>
  <si>
    <t>012526SO0893</t>
  </si>
  <si>
    <t>012627SO0262</t>
  </si>
  <si>
    <t>01SO0277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</si>
</sst>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9"/>
      <name val="Aptos Narrow"/>
      <family val="2"/>
      <scheme val="minor"/>
    </font>
    <font>
      <sz val="11"/>
      <name val="Calibri"/>
      <family val="2"/>
    </font>
    <font>
      <sz val="9"/>
      <color rgb="FF000000"/>
      <name val="Verdana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4F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2" applyBorder="1" applyAlignment="1">
      <alignment horizontal="center"/>
    </xf>
    <xf numFmtId="0" fontId="0" fillId="0" borderId="2" xfId="0" applyBorder="1"/>
    <xf numFmtId="0" fontId="0" fillId="0" borderId="1" xfId="2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2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8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2" fillId="0" borderId="3" xfId="2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2" applyFont="1" applyFill="1" applyBorder="1" applyAlignment="1">
      <alignment horizontal="center"/>
    </xf>
    <xf numFmtId="49" fontId="8" fillId="0" borderId="1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showHyperlinkTrans('160522890-1');" TargetMode="External"/><Relationship Id="rId7" Type="http://schemas.openxmlformats.org/officeDocument/2006/relationships/hyperlink" Target="javascript:showHyperlinkTrans('160522890-1');" TargetMode="External"/><Relationship Id="rId2" Type="http://schemas.openxmlformats.org/officeDocument/2006/relationships/hyperlink" Target="javascript:showHyperlinkTrans('266598145-1');" TargetMode="External"/><Relationship Id="rId1" Type="http://schemas.openxmlformats.org/officeDocument/2006/relationships/hyperlink" Target="javascript:showHyperlinkTrans('266598145-1');" TargetMode="External"/><Relationship Id="rId6" Type="http://schemas.openxmlformats.org/officeDocument/2006/relationships/hyperlink" Target="javascript:showHyperlinkTrans('160522890-1');" TargetMode="External"/><Relationship Id="rId5" Type="http://schemas.openxmlformats.org/officeDocument/2006/relationships/hyperlink" Target="javascript:showHyperlinkTrans('160522890-1');" TargetMode="External"/><Relationship Id="rId4" Type="http://schemas.openxmlformats.org/officeDocument/2006/relationships/hyperlink" Target="javascript:showHyperlinkTrans('160522890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20"/>
  <sheetViews>
    <sheetView tabSelected="1" workbookViewId="0">
      <selection sqref="A1:I16"/>
    </sheetView>
  </sheetViews>
  <sheetFormatPr defaultRowHeight="15" x14ac:dyDescent="0.25"/>
  <cols>
    <col min="1" max="1" width="14.5703125" customWidth="1"/>
    <col min="2" max="2" width="12.140625" customWidth="1"/>
    <col min="3" max="3" width="36.28515625" bestFit="1" customWidth="1"/>
    <col min="4" max="5" width="25.5703125" bestFit="1" customWidth="1"/>
    <col min="6" max="6" width="15" bestFit="1" customWidth="1"/>
    <col min="7" max="7" width="18.85546875" customWidth="1"/>
    <col min="8" max="8" width="17.7109375" customWidth="1"/>
    <col min="9" max="9" width="2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1" t="s">
        <v>9</v>
      </c>
      <c r="K1" s="6"/>
      <c r="L1" s="4"/>
      <c r="M1" s="4"/>
    </row>
    <row r="2" spans="1:13" x14ac:dyDescent="0.25">
      <c r="A2" s="10" t="s">
        <v>22</v>
      </c>
      <c r="B2" s="10">
        <f>VLOOKUP(E2,[1]Sheet1!$E:$H,4,0)</f>
        <v>100259</v>
      </c>
      <c r="C2" s="19" t="s">
        <v>12</v>
      </c>
      <c r="D2" s="20">
        <v>96138561</v>
      </c>
      <c r="E2" s="20" t="s">
        <v>21</v>
      </c>
      <c r="F2" s="10">
        <v>21000</v>
      </c>
      <c r="G2" s="21" t="s">
        <v>11</v>
      </c>
      <c r="H2" s="10"/>
      <c r="I2" s="22"/>
      <c r="J2" s="12"/>
    </row>
    <row r="3" spans="1:13" x14ac:dyDescent="0.25">
      <c r="A3" s="2" t="s">
        <v>22</v>
      </c>
      <c r="B3" s="2" t="e">
        <f>VLOOKUP(E3,[1]Sheet1!$E:$H,4,0)</f>
        <v>#N/A</v>
      </c>
      <c r="C3" s="5" t="s">
        <v>12</v>
      </c>
      <c r="D3" s="3">
        <v>96138573</v>
      </c>
      <c r="E3" s="3" t="s">
        <v>23</v>
      </c>
      <c r="F3" s="2">
        <v>9000</v>
      </c>
      <c r="G3" s="15" t="s">
        <v>11</v>
      </c>
      <c r="H3" s="2"/>
      <c r="I3" s="2"/>
      <c r="J3" s="12"/>
    </row>
    <row r="4" spans="1:13" x14ac:dyDescent="0.25">
      <c r="A4" s="2" t="s">
        <v>22</v>
      </c>
      <c r="B4" s="2">
        <f>VLOOKUP(E4,[1]Sheet1!$E:$H,4,0)</f>
        <v>100260</v>
      </c>
      <c r="C4" s="7" t="s">
        <v>12</v>
      </c>
      <c r="D4" s="3">
        <v>93367198</v>
      </c>
      <c r="E4" s="3" t="s">
        <v>24</v>
      </c>
      <c r="F4" s="2">
        <v>9000</v>
      </c>
      <c r="G4" s="15" t="s">
        <v>11</v>
      </c>
      <c r="H4" s="2"/>
      <c r="I4" s="2"/>
      <c r="J4" s="12"/>
    </row>
    <row r="5" spans="1:13" x14ac:dyDescent="0.25">
      <c r="A5" s="2" t="s">
        <v>22</v>
      </c>
      <c r="B5" s="2">
        <f>VLOOKUP(E5,[1]Sheet1!$E:$H,4,0)</f>
        <v>100278</v>
      </c>
      <c r="C5" s="7" t="s">
        <v>27</v>
      </c>
      <c r="D5" s="9" t="s">
        <v>25</v>
      </c>
      <c r="E5" s="3" t="s">
        <v>26</v>
      </c>
      <c r="F5" s="2">
        <v>500</v>
      </c>
      <c r="G5" s="15" t="s">
        <v>46</v>
      </c>
      <c r="H5" s="2"/>
      <c r="I5" s="2"/>
      <c r="J5" s="12"/>
    </row>
    <row r="6" spans="1:13" x14ac:dyDescent="0.25">
      <c r="A6" s="2" t="s">
        <v>22</v>
      </c>
      <c r="B6" s="2" t="str">
        <f>VLOOKUP(E6,[1]Sheet1!$E:$H,4,0)</f>
        <v xml:space="preserve">  </v>
      </c>
      <c r="C6" s="5" t="s">
        <v>10</v>
      </c>
      <c r="D6" s="2" t="s">
        <v>28</v>
      </c>
      <c r="E6" s="3" t="s">
        <v>45</v>
      </c>
      <c r="F6" s="2">
        <v>10000</v>
      </c>
      <c r="G6" s="15" t="s">
        <v>47</v>
      </c>
      <c r="H6" s="2"/>
      <c r="I6" s="2"/>
      <c r="J6" s="12"/>
    </row>
    <row r="7" spans="1:13" x14ac:dyDescent="0.25">
      <c r="A7" s="2" t="s">
        <v>22</v>
      </c>
      <c r="B7" s="2">
        <f>VLOOKUP(E7,[1]Sheet1!$E:$H,4,0)</f>
        <v>102185</v>
      </c>
      <c r="C7" s="7" t="s">
        <v>10</v>
      </c>
      <c r="D7" s="2" t="s">
        <v>13</v>
      </c>
      <c r="E7" s="3" t="s">
        <v>14</v>
      </c>
      <c r="F7" s="2">
        <v>500</v>
      </c>
      <c r="G7" s="15" t="s">
        <v>15</v>
      </c>
      <c r="H7" s="2"/>
      <c r="I7" s="2"/>
      <c r="J7" s="12"/>
    </row>
    <row r="8" spans="1:13" x14ac:dyDescent="0.25">
      <c r="A8" s="2" t="s">
        <v>22</v>
      </c>
      <c r="B8" s="2">
        <f>VLOOKUP(E8,[1]Sheet1!$E:$H,4,0)</f>
        <v>102818</v>
      </c>
      <c r="C8" s="7" t="s">
        <v>10</v>
      </c>
      <c r="D8" s="2" t="s">
        <v>17</v>
      </c>
      <c r="E8" s="3" t="s">
        <v>19</v>
      </c>
      <c r="F8" s="2">
        <v>2000</v>
      </c>
      <c r="G8" s="15" t="s">
        <v>20</v>
      </c>
      <c r="H8" s="8"/>
      <c r="I8" s="2"/>
      <c r="J8" s="12"/>
    </row>
    <row r="9" spans="1:13" x14ac:dyDescent="0.25">
      <c r="A9" s="2" t="s">
        <v>22</v>
      </c>
      <c r="B9" s="2" t="e">
        <f>VLOOKUP(E9,[1]Sheet1!$E:$H,4,0)</f>
        <v>#N/A</v>
      </c>
      <c r="C9" s="5" t="s">
        <v>10</v>
      </c>
      <c r="D9" s="2" t="s">
        <v>16</v>
      </c>
      <c r="E9" s="3" t="s">
        <v>18</v>
      </c>
      <c r="F9" s="2">
        <v>700</v>
      </c>
      <c r="G9" s="15" t="s">
        <v>48</v>
      </c>
      <c r="H9" s="2"/>
      <c r="I9" s="2"/>
      <c r="J9" s="12"/>
    </row>
    <row r="10" spans="1:13" x14ac:dyDescent="0.25">
      <c r="A10" s="2" t="s">
        <v>22</v>
      </c>
      <c r="B10" s="2">
        <f>VLOOKUP(E10,[1]Sheet1!$E:$H,4,0)</f>
        <v>100795</v>
      </c>
      <c r="C10" s="7" t="s">
        <v>30</v>
      </c>
      <c r="D10" s="2" t="s">
        <v>29</v>
      </c>
      <c r="E10" s="3" t="s">
        <v>33</v>
      </c>
      <c r="F10" s="2">
        <v>1000</v>
      </c>
      <c r="G10" s="15" t="s">
        <v>49</v>
      </c>
      <c r="H10" s="8"/>
      <c r="I10" s="2"/>
      <c r="J10" s="12"/>
    </row>
    <row r="11" spans="1:13" x14ac:dyDescent="0.25">
      <c r="A11" s="2" t="s">
        <v>22</v>
      </c>
      <c r="B11" s="2">
        <f>VLOOKUP(E11,[1]Sheet1!$E:$H,4,0)</f>
        <v>102828</v>
      </c>
      <c r="C11" s="7" t="s">
        <v>30</v>
      </c>
      <c r="D11" s="2" t="s">
        <v>31</v>
      </c>
      <c r="E11" s="3" t="s">
        <v>32</v>
      </c>
      <c r="F11" s="2">
        <v>4000</v>
      </c>
      <c r="G11" s="15" t="s">
        <v>49</v>
      </c>
      <c r="H11" s="8"/>
      <c r="I11" s="2"/>
      <c r="J11" s="12"/>
    </row>
    <row r="12" spans="1:13" x14ac:dyDescent="0.25">
      <c r="A12" s="23" t="s">
        <v>22</v>
      </c>
      <c r="B12" s="10">
        <f>VLOOKUP(E12,[1]Sheet1!$E:$H,4,0)</f>
        <v>103021</v>
      </c>
      <c r="C12" s="24" t="s">
        <v>36</v>
      </c>
      <c r="D12" s="10" t="s">
        <v>35</v>
      </c>
      <c r="E12" s="20" t="s">
        <v>34</v>
      </c>
      <c r="F12" s="23">
        <v>1000</v>
      </c>
      <c r="G12" s="21" t="s">
        <v>50</v>
      </c>
      <c r="H12" s="10"/>
      <c r="I12" s="10"/>
      <c r="J12" s="12"/>
    </row>
    <row r="13" spans="1:13" x14ac:dyDescent="0.25">
      <c r="A13" s="13" t="s">
        <v>22</v>
      </c>
      <c r="B13" s="2">
        <f>VLOOKUP(E13,[1]Sheet1!$E:$H,4,0)</f>
        <v>103019</v>
      </c>
      <c r="C13" s="14" t="s">
        <v>36</v>
      </c>
      <c r="D13" s="2" t="s">
        <v>37</v>
      </c>
      <c r="E13" s="3" t="s">
        <v>38</v>
      </c>
      <c r="F13" s="13">
        <v>1000</v>
      </c>
      <c r="G13" s="15" t="s">
        <v>50</v>
      </c>
      <c r="H13" s="2"/>
      <c r="I13" s="2"/>
      <c r="J13" s="12"/>
    </row>
    <row r="14" spans="1:13" x14ac:dyDescent="0.25">
      <c r="A14" s="13" t="s">
        <v>22</v>
      </c>
      <c r="B14" s="2">
        <f>VLOOKUP(E14,[1]Sheet1!$E:$H,4,0)</f>
        <v>103022</v>
      </c>
      <c r="C14" s="14" t="s">
        <v>36</v>
      </c>
      <c r="D14" s="2" t="s">
        <v>40</v>
      </c>
      <c r="E14" s="3" t="s">
        <v>39</v>
      </c>
      <c r="F14" s="13">
        <v>300</v>
      </c>
      <c r="G14" s="15" t="s">
        <v>50</v>
      </c>
      <c r="H14" s="2"/>
      <c r="I14" s="2"/>
      <c r="J14" s="12"/>
    </row>
    <row r="15" spans="1:13" x14ac:dyDescent="0.25">
      <c r="A15" s="13" t="s">
        <v>22</v>
      </c>
      <c r="B15" s="2">
        <f>VLOOKUP(E15,[1]Sheet1!$E:$H,4,0)</f>
        <v>103020</v>
      </c>
      <c r="C15" s="14" t="s">
        <v>36</v>
      </c>
      <c r="D15" s="2" t="s">
        <v>41</v>
      </c>
      <c r="E15" s="3" t="s">
        <v>43</v>
      </c>
      <c r="F15" s="13">
        <v>400</v>
      </c>
      <c r="G15" s="15" t="s">
        <v>50</v>
      </c>
      <c r="H15" s="2"/>
      <c r="I15" s="2"/>
      <c r="J15" s="12"/>
    </row>
    <row r="16" spans="1:13" x14ac:dyDescent="0.25">
      <c r="A16" s="13" t="s">
        <v>22</v>
      </c>
      <c r="B16" s="2">
        <f>VLOOKUP(E16,[1]Sheet1!$E:$H,4,0)</f>
        <v>102862</v>
      </c>
      <c r="C16" s="14" t="s">
        <v>36</v>
      </c>
      <c r="D16" s="2" t="s">
        <v>42</v>
      </c>
      <c r="E16" s="3" t="s">
        <v>44</v>
      </c>
      <c r="F16" s="13">
        <v>400</v>
      </c>
      <c r="G16" s="15" t="s">
        <v>50</v>
      </c>
      <c r="H16" s="2"/>
      <c r="I16" s="2"/>
      <c r="J16" s="12"/>
    </row>
    <row r="17" spans="1:9" x14ac:dyDescent="0.25">
      <c r="A17" s="13"/>
      <c r="B17" s="2"/>
      <c r="C17" s="14"/>
      <c r="D17" s="16"/>
      <c r="E17" s="17"/>
      <c r="F17" s="13"/>
      <c r="G17" s="2"/>
      <c r="H17" s="2"/>
      <c r="I17" s="2"/>
    </row>
    <row r="18" spans="1:9" x14ac:dyDescent="0.25">
      <c r="A18" s="13"/>
      <c r="B18" s="2"/>
      <c r="C18" s="14"/>
      <c r="D18" s="16"/>
      <c r="E18" s="17"/>
      <c r="F18" s="13"/>
      <c r="G18" s="2"/>
      <c r="H18" s="2"/>
      <c r="I18" s="2"/>
    </row>
    <row r="19" spans="1:9" x14ac:dyDescent="0.25">
      <c r="A19" s="2"/>
      <c r="B19" s="2"/>
      <c r="C19" s="14"/>
      <c r="D19" s="16"/>
      <c r="E19" s="17"/>
      <c r="F19" s="13"/>
      <c r="G19" s="2"/>
      <c r="H19" s="2"/>
      <c r="I19" s="2"/>
    </row>
    <row r="20" spans="1:9" x14ac:dyDescent="0.25">
      <c r="A20" s="13"/>
      <c r="B20" s="2"/>
      <c r="C20" s="14"/>
      <c r="D20" s="25"/>
      <c r="E20" s="18"/>
      <c r="F20" s="13"/>
      <c r="G20" s="2"/>
      <c r="H20" s="2"/>
      <c r="I20" s="2"/>
    </row>
  </sheetData>
  <autoFilter ref="A1:J19" xr:uid="{F35EB766-5E85-41FD-9437-4EB6FA9729C3}"/>
  <conditionalFormatting sqref="E11">
    <cfRule type="duplicateValues" dxfId="3" priority="8"/>
  </conditionalFormatting>
  <conditionalFormatting sqref="E2">
    <cfRule type="duplicateValues" dxfId="2" priority="7"/>
  </conditionalFormatting>
  <conditionalFormatting sqref="E3">
    <cfRule type="duplicateValues" dxfId="1" priority="6"/>
  </conditionalFormatting>
  <conditionalFormatting sqref="E2:E16">
    <cfRule type="duplicateValues" dxfId="0" priority="9"/>
  </conditionalFormatting>
  <hyperlinks>
    <hyperlink ref="G10" r:id="rId1" display="javascript:showHyperlinkTrans('266598145-1');" xr:uid="{1E38F4CF-67E5-4B03-BE11-00B9EE28D52A}"/>
    <hyperlink ref="G11" r:id="rId2" display="javascript:showHyperlinkTrans('266598145-1');" xr:uid="{91E33656-CAFC-4290-9490-06A0A85C0CB1}"/>
    <hyperlink ref="G12" r:id="rId3" display="javascript:showHyperlinkTrans('160522890-1');" xr:uid="{3935209F-3051-46EA-82DF-E7CC751DBE9B}"/>
    <hyperlink ref="G13" r:id="rId4" display="javascript:showHyperlinkTrans('160522890-1');" xr:uid="{4B633310-D4FD-47E7-BF5A-33E7899F19CC}"/>
    <hyperlink ref="G14" r:id="rId5" display="javascript:showHyperlinkTrans('160522890-1');" xr:uid="{28728BC2-7B57-4972-8A3E-49EAE1B714FA}"/>
    <hyperlink ref="G15" r:id="rId6" display="javascript:showHyperlinkTrans('160522890-1');" xr:uid="{463E874E-53C1-4B2A-BA7E-DC1C0C9C3FE8}"/>
    <hyperlink ref="G16" r:id="rId7" display="javascript:showHyperlinkTrans('160522890-1');" xr:uid="{9741F7FE-8855-423D-959C-53239336AE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2026-09-10T05:06:18Z</dcterms:modified>
</cp:coreProperties>
</file>