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8C35F9A-C448-4A9F-AA65-D92B28BB7684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Sheet4!$A$1:$J$11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B5" i="6"/>
  <c r="B6" i="6"/>
  <c r="B7" i="6"/>
  <c r="B8" i="6"/>
  <c r="B9" i="6"/>
  <c r="B3" i="6" l="1"/>
  <c r="B2" i="6"/>
</calcChain>
</file>

<file path=xl/sharedStrings.xml><?xml version="1.0" encoding="utf-8"?>
<sst xmlns="http://schemas.openxmlformats.org/spreadsheetml/2006/main" count="51" uniqueCount="40">
  <si>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</si>
  <si>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</si>
  <si>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</si>
  <si>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</si>
  <si>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</si>
  <si>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</si>
  <si>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</si>
  <si>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</si>
  <si>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</si>
  <si>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</si>
  <si>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</si>
  <si>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AL HOSUR 2</t>
  </si>
  <si>
    <t>X8H13000</t>
  </si>
  <si>
    <t>WTL M03 B03 312 AL NEW</t>
  </si>
  <si>
    <t>XDH01300</t>
  </si>
  <si>
    <t>TV M03 B06 104.7 AL</t>
  </si>
  <si>
    <t>012627SO0256</t>
  </si>
  <si>
    <t>24.09.2026</t>
  </si>
  <si>
    <t>AL ENNORE</t>
  </si>
  <si>
    <t>X8H00410</t>
  </si>
  <si>
    <t>X8H20300</t>
  </si>
  <si>
    <t>AL ALWAR</t>
  </si>
  <si>
    <t>SFS M09 B11 J2A SDF</t>
  </si>
  <si>
    <t>SAME DEUTZ</t>
  </si>
  <si>
    <t>2.6859.198.0</t>
  </si>
  <si>
    <t>XDH00500</t>
  </si>
  <si>
    <t>BY OM SURFACE</t>
  </si>
  <si>
    <t>WP M04 B15 J00 AL1</t>
  </si>
  <si>
    <t>SFS M09 B11 J1X AL</t>
  </si>
  <si>
    <t>TV M03 B10 120.66 AL</t>
  </si>
  <si>
    <t>RAYCHEM</t>
  </si>
  <si>
    <t>HAB0160036</t>
  </si>
  <si>
    <t>WP M04 B01 J7 RCM</t>
  </si>
  <si>
    <t>012627SO0276</t>
  </si>
  <si>
    <t>012627SO0175</t>
  </si>
  <si>
    <t>01SO0280</t>
  </si>
  <si>
    <t>01SO0981</t>
  </si>
  <si>
    <t>012526SO0839</t>
  </si>
  <si>
    <t>01SO0953</t>
  </si>
  <si>
    <t>01SO0222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</si>
</sst>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sz val="12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4F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CCCCCC"/>
      </right>
      <top style="medium">
        <color rgb="FFA9C5D9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2" fillId="0" borderId="1" xfId="2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4" fillId="3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5" borderId="4" xfId="0" applyFont="1" applyFill="1" applyBorder="1" applyAlignment="1">
      <alignment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showHyperlinkTrans('188149325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1"/>
  <sheetViews>
    <sheetView tabSelected="1" workbookViewId="0">
      <selection activeCell="D12" sqref="D12"/>
    </sheetView>
  </sheetViews>
  <sheetFormatPr defaultRowHeight="15" x14ac:dyDescent="0.25"/>
  <cols>
    <col min="1" max="1" width="14.5703125" customWidth="1"/>
    <col min="2" max="2" width="12.1406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  <c r="L1" s="3"/>
      <c r="M1" s="3"/>
    </row>
    <row r="2" spans="1:13" x14ac:dyDescent="0.25">
      <c r="A2" s="2" t="s">
        <v>17</v>
      </c>
      <c r="B2" s="2">
        <f>VLOOKUP(E2,[1]Sheet1!$E:$H,4,0)</f>
        <v>102185</v>
      </c>
      <c r="C2" s="2" t="s">
        <v>10</v>
      </c>
      <c r="D2" s="12" t="s">
        <v>14</v>
      </c>
      <c r="E2" s="2" t="s">
        <v>15</v>
      </c>
      <c r="F2" s="5">
        <v>500</v>
      </c>
      <c r="G2" s="2" t="s">
        <v>16</v>
      </c>
      <c r="H2" s="2"/>
      <c r="I2" s="2"/>
      <c r="J2" s="2"/>
    </row>
    <row r="3" spans="1:13" x14ac:dyDescent="0.25">
      <c r="A3" s="2" t="s">
        <v>17</v>
      </c>
      <c r="B3" s="2">
        <f>VLOOKUP(E3,[1]Sheet1!$E:$H,4,0)</f>
        <v>100470</v>
      </c>
      <c r="C3" s="2" t="s">
        <v>18</v>
      </c>
      <c r="D3" s="12" t="s">
        <v>19</v>
      </c>
      <c r="E3" s="2" t="s">
        <v>27</v>
      </c>
      <c r="F3" s="5">
        <v>1000</v>
      </c>
      <c r="G3" s="2" t="s">
        <v>35</v>
      </c>
      <c r="H3" s="2"/>
      <c r="I3" s="2"/>
      <c r="J3" s="2"/>
    </row>
    <row r="4" spans="1:13" x14ac:dyDescent="0.25">
      <c r="A4" s="2" t="s">
        <v>17</v>
      </c>
      <c r="B4" s="2" t="str">
        <f>VLOOKUP(E4,[1]Sheet1!$E:$H,4,0)</f>
        <v xml:space="preserve">  </v>
      </c>
      <c r="C4" s="11" t="s">
        <v>10</v>
      </c>
      <c r="D4" s="12" t="s">
        <v>20</v>
      </c>
      <c r="E4" s="2" t="s">
        <v>28</v>
      </c>
      <c r="F4" s="5">
        <v>10000</v>
      </c>
      <c r="G4" s="2" t="s">
        <v>36</v>
      </c>
      <c r="H4" s="2"/>
      <c r="I4" s="2"/>
      <c r="J4" s="2"/>
    </row>
    <row r="5" spans="1:13" ht="15.75" thickBot="1" x14ac:dyDescent="0.3">
      <c r="A5" s="2" t="s">
        <v>17</v>
      </c>
      <c r="B5" s="2" t="e">
        <f>VLOOKUP(E5,[1]Sheet1!$E:$H,4,0)</f>
        <v>#N/A</v>
      </c>
      <c r="C5" s="13" t="s">
        <v>21</v>
      </c>
      <c r="D5" s="13" t="s">
        <v>12</v>
      </c>
      <c r="E5" s="2" t="s">
        <v>13</v>
      </c>
      <c r="F5" s="5">
        <v>500</v>
      </c>
      <c r="G5" s="2" t="s">
        <v>37</v>
      </c>
      <c r="H5" s="2"/>
      <c r="I5" s="2"/>
      <c r="J5" s="2"/>
    </row>
    <row r="6" spans="1:13" x14ac:dyDescent="0.25">
      <c r="A6" s="2" t="s">
        <v>17</v>
      </c>
      <c r="B6" s="2">
        <f>VLOOKUP(E6,[1]Sheet1!$E:$H,4,0)</f>
        <v>103801</v>
      </c>
      <c r="C6" s="2" t="s">
        <v>23</v>
      </c>
      <c r="D6" s="2" t="s">
        <v>24</v>
      </c>
      <c r="E6" s="7" t="s">
        <v>22</v>
      </c>
      <c r="F6" s="5">
        <v>2000</v>
      </c>
      <c r="G6" s="2" t="s">
        <v>39</v>
      </c>
      <c r="H6" s="21"/>
      <c r="I6" s="2"/>
      <c r="J6" s="2"/>
    </row>
    <row r="7" spans="1:13" x14ac:dyDescent="0.25">
      <c r="A7" s="2" t="s">
        <v>17</v>
      </c>
      <c r="B7" s="2">
        <f>VLOOKUP(E7,[1]Sheet1!$E:$H,4,0)</f>
        <v>101635</v>
      </c>
      <c r="C7" s="2" t="s">
        <v>11</v>
      </c>
      <c r="D7" s="14" t="s">
        <v>25</v>
      </c>
      <c r="E7" s="14" t="s">
        <v>29</v>
      </c>
      <c r="F7" s="5">
        <v>500</v>
      </c>
      <c r="G7" s="2" t="s">
        <v>38</v>
      </c>
      <c r="H7" s="2"/>
      <c r="I7" s="6" t="s">
        <v>26</v>
      </c>
      <c r="J7" s="2"/>
    </row>
    <row r="8" spans="1:13" x14ac:dyDescent="0.25">
      <c r="A8" s="2" t="s">
        <v>17</v>
      </c>
      <c r="B8" s="2">
        <f>VLOOKUP(E8,[1]Sheet1!$E:$H,4,0)</f>
        <v>100602</v>
      </c>
      <c r="C8" s="2" t="s">
        <v>30</v>
      </c>
      <c r="D8" s="20" t="s">
        <v>31</v>
      </c>
      <c r="E8" s="7" t="s">
        <v>32</v>
      </c>
      <c r="F8" s="5">
        <v>400</v>
      </c>
      <c r="G8" s="2" t="s">
        <v>33</v>
      </c>
      <c r="H8" s="8"/>
      <c r="I8" s="2"/>
      <c r="J8" s="2"/>
    </row>
    <row r="9" spans="1:13" x14ac:dyDescent="0.25">
      <c r="A9" s="2" t="s">
        <v>17</v>
      </c>
      <c r="B9" s="2">
        <f>VLOOKUP(E9,[1]Sheet1!$E:$H,4,0)</f>
        <v>100602</v>
      </c>
      <c r="C9" s="2" t="s">
        <v>30</v>
      </c>
      <c r="D9" s="20" t="s">
        <v>31</v>
      </c>
      <c r="E9" s="7" t="s">
        <v>32</v>
      </c>
      <c r="F9" s="5">
        <v>300</v>
      </c>
      <c r="G9" s="2" t="s">
        <v>34</v>
      </c>
      <c r="H9" s="2"/>
      <c r="I9" s="2"/>
      <c r="J9" s="2"/>
    </row>
    <row r="10" spans="1:13" x14ac:dyDescent="0.25">
      <c r="A10" s="15"/>
      <c r="B10" s="15"/>
      <c r="C10" s="15"/>
      <c r="D10" s="16"/>
      <c r="E10" s="16"/>
      <c r="F10" s="17"/>
      <c r="G10" s="15"/>
      <c r="H10" s="18"/>
      <c r="I10" s="19"/>
      <c r="J10" s="2"/>
    </row>
    <row r="11" spans="1:13" x14ac:dyDescent="0.25">
      <c r="A11" s="2"/>
      <c r="B11" s="2"/>
      <c r="C11" s="2"/>
      <c r="D11" s="9"/>
      <c r="E11" s="10"/>
      <c r="F11" s="5"/>
      <c r="G11" s="2"/>
      <c r="H11" s="8"/>
      <c r="I11" s="2"/>
      <c r="J11" s="2"/>
    </row>
  </sheetData>
  <autoFilter ref="A1:J11" xr:uid="{F35EB766-5E85-41FD-9437-4EB6FA9729C3}"/>
  <conditionalFormatting sqref="E7">
    <cfRule type="duplicateValues" dxfId="2" priority="3"/>
  </conditionalFormatting>
  <conditionalFormatting sqref="G2:G9">
    <cfRule type="duplicateValues" dxfId="1" priority="5"/>
    <cfRule type="duplicateValues" dxfId="0" priority="6"/>
  </conditionalFormatting>
  <hyperlinks>
    <hyperlink ref="G6" r:id="rId1" display="javascript:showHyperlinkTrans('188149325-1');" xr:uid="{5080221E-DE51-4B7F-A2A6-45097B83ED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2026-09-24T05:17:19Z</dcterms:modified>
</cp:coreProperties>
</file>