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FDF72C-DDB8-429A-8C7B-B90A8536EAE4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Sheet4!$A$1:$J$18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</calcChain>
</file>

<file path=xl/sharedStrings.xml><?xml version="1.0" encoding="utf-8"?>
<sst xmlns="http://schemas.openxmlformats.org/spreadsheetml/2006/main" count="96" uniqueCount="53">
  <si>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</si>
  <si>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</si>
  <si>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</si>
  <si>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</si>
  <si>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</si>
  <si>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</si>
  <si>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</si>
  <si>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</si>
  <si>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</si>
  <si>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</si>
  <si>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XDH01300</t>
  </si>
  <si>
    <t>AL PNT</t>
  </si>
  <si>
    <t>X8H13000</t>
  </si>
  <si>
    <t>TV M03 B06 104.7 AL</t>
  </si>
  <si>
    <t>WTL M03 B03 312 AL NEW</t>
  </si>
  <si>
    <t>012627SO0295</t>
  </si>
  <si>
    <t>PL-BP341</t>
  </si>
  <si>
    <t>TS M05 B08 140 MH 1</t>
  </si>
  <si>
    <t>PL-BP535</t>
  </si>
  <si>
    <t>TS M05 B08 206 MH</t>
  </si>
  <si>
    <t>012627SO0256</t>
  </si>
  <si>
    <t>AL Ennore</t>
  </si>
  <si>
    <t>PL-BP211</t>
  </si>
  <si>
    <t>PREMIER SEALS</t>
  </si>
  <si>
    <t>012526SO0911</t>
  </si>
  <si>
    <t>C9120343</t>
  </si>
  <si>
    <t>WTL M03 B02 10 OEM</t>
  </si>
  <si>
    <t>012627SO0107</t>
  </si>
  <si>
    <t>Caterpillar</t>
  </si>
  <si>
    <t>TS M02 B08 104 CAT</t>
  </si>
  <si>
    <t>WHL M01 B03 912 CAT</t>
  </si>
  <si>
    <t>TS M02 B08 150 CAT</t>
  </si>
  <si>
    <t>TS M02 B08 138 CAT</t>
  </si>
  <si>
    <t>TS M02 B08 42 CAT</t>
  </si>
  <si>
    <t>FM INDIA LOGISTICS</t>
  </si>
  <si>
    <t>13.10.2026</t>
  </si>
  <si>
    <t>TAFE DINDIGUL</t>
  </si>
  <si>
    <t>2845C00901</t>
  </si>
  <si>
    <t>WP M04 B01 J45A OEM</t>
  </si>
  <si>
    <t>TAFE MOTORS</t>
  </si>
  <si>
    <t>WTL M03 B02 28 OEM</t>
  </si>
  <si>
    <t>BY AIR URGENT</t>
  </si>
  <si>
    <t>C9120347</t>
  </si>
  <si>
    <t>ESCORT KUBOTA</t>
  </si>
  <si>
    <t>WP M04 B01 J4 TF</t>
  </si>
  <si>
    <t>012627SO0011</t>
  </si>
  <si>
    <t>012526SO0947</t>
  </si>
  <si>
    <t>012526SO0951</t>
  </si>
  <si>
    <t>TX M05 B06 118 MH</t>
  </si>
  <si>
    <t>012627SO0004</t>
  </si>
  <si>
    <t>012526SO0942</t>
  </si>
  <si>
    <t>012526SO0860</t>
  </si>
  <si>
    <t>012526SO0614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</si>
</sst>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4243951-1');" TargetMode="External"/><Relationship Id="rId2" Type="http://schemas.openxmlformats.org/officeDocument/2006/relationships/hyperlink" Target="javascript:showHyperlinkTrans('254243951-1');" TargetMode="External"/><Relationship Id="rId1" Type="http://schemas.openxmlformats.org/officeDocument/2006/relationships/hyperlink" Target="javascript:showHyperlinkTrans('254243951-1');" TargetMode="External"/><Relationship Id="rId6" Type="http://schemas.openxmlformats.org/officeDocument/2006/relationships/hyperlink" Target="javascript:showHyperlinkTrans('258486099-1');" TargetMode="External"/><Relationship Id="rId5" Type="http://schemas.openxmlformats.org/officeDocument/2006/relationships/hyperlink" Target="javascript:showHyperlinkTrans('258486099-1');" TargetMode="External"/><Relationship Id="rId4" Type="http://schemas.openxmlformats.org/officeDocument/2006/relationships/hyperlink" Target="javascript:showHyperlinkTrans('254243951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8"/>
  <sheetViews>
    <sheetView tabSelected="1" workbookViewId="0">
      <selection sqref="A1:G18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5"/>
      <c r="L1" s="4"/>
      <c r="M1" s="3"/>
    </row>
    <row r="2" spans="1:13" x14ac:dyDescent="0.25">
      <c r="A2" s="2" t="s">
        <v>35</v>
      </c>
      <c r="B2" s="2">
        <f>VLOOKUP(E2,[1]Sheet1!$E:$H,4,0)</f>
        <v>102563</v>
      </c>
      <c r="C2" s="11" t="s">
        <v>28</v>
      </c>
      <c r="D2" s="12">
        <v>2087448</v>
      </c>
      <c r="E2" s="12" t="s">
        <v>29</v>
      </c>
      <c r="F2" s="12">
        <v>2880</v>
      </c>
      <c r="G2" s="2" t="s">
        <v>45</v>
      </c>
      <c r="H2" s="2"/>
      <c r="I2" s="2" t="s">
        <v>34</v>
      </c>
    </row>
    <row r="3" spans="1:13" x14ac:dyDescent="0.25">
      <c r="A3" s="2" t="s">
        <v>35</v>
      </c>
      <c r="B3" s="2">
        <f>VLOOKUP(E3,[1]Sheet1!$E:$H,4,0)</f>
        <v>102563</v>
      </c>
      <c r="C3" s="11" t="s">
        <v>28</v>
      </c>
      <c r="D3" s="12">
        <v>2087448</v>
      </c>
      <c r="E3" s="12" t="s">
        <v>29</v>
      </c>
      <c r="F3" s="12">
        <v>2880</v>
      </c>
      <c r="G3" s="2" t="s">
        <v>45</v>
      </c>
      <c r="H3" s="2"/>
      <c r="I3" s="2" t="s">
        <v>34</v>
      </c>
    </row>
    <row r="4" spans="1:13" x14ac:dyDescent="0.25">
      <c r="A4" s="2" t="s">
        <v>35</v>
      </c>
      <c r="B4" s="2">
        <f>VLOOKUP(E4,[1]Sheet1!$E:$H,4,0)</f>
        <v>102563</v>
      </c>
      <c r="C4" s="11" t="s">
        <v>28</v>
      </c>
      <c r="D4" s="12">
        <v>2087448</v>
      </c>
      <c r="E4" s="12" t="s">
        <v>29</v>
      </c>
      <c r="F4" s="12">
        <v>2880</v>
      </c>
      <c r="G4" s="2" t="s">
        <v>45</v>
      </c>
      <c r="H4" s="2"/>
      <c r="I4" s="2" t="s">
        <v>34</v>
      </c>
    </row>
    <row r="5" spans="1:13" x14ac:dyDescent="0.25">
      <c r="A5" s="2" t="s">
        <v>35</v>
      </c>
      <c r="B5" s="2">
        <f>VLOOKUP(E5,[1]Sheet1!$E:$H,4,0)</f>
        <v>102563</v>
      </c>
      <c r="C5" s="11" t="s">
        <v>28</v>
      </c>
      <c r="D5" s="12">
        <v>2087448</v>
      </c>
      <c r="E5" s="12" t="s">
        <v>29</v>
      </c>
      <c r="F5" s="12">
        <v>2880</v>
      </c>
      <c r="G5" s="2" t="s">
        <v>45</v>
      </c>
      <c r="H5" s="2"/>
      <c r="I5" s="2" t="s">
        <v>34</v>
      </c>
    </row>
    <row r="6" spans="1:13" x14ac:dyDescent="0.25">
      <c r="A6" s="2" t="s">
        <v>35</v>
      </c>
      <c r="B6" s="2">
        <f>VLOOKUP(E6,[1]Sheet1!$E:$H,4,0)</f>
        <v>102738</v>
      </c>
      <c r="C6" s="11" t="s">
        <v>28</v>
      </c>
      <c r="D6" s="12">
        <v>4239521</v>
      </c>
      <c r="E6" s="12" t="s">
        <v>30</v>
      </c>
      <c r="F6" s="12">
        <v>500</v>
      </c>
      <c r="G6" s="2" t="s">
        <v>46</v>
      </c>
      <c r="H6" s="2"/>
      <c r="I6" s="2" t="s">
        <v>34</v>
      </c>
    </row>
    <row r="7" spans="1:13" x14ac:dyDescent="0.25">
      <c r="A7" s="2" t="s">
        <v>35</v>
      </c>
      <c r="B7" s="2">
        <f>VLOOKUP(E7,[1]Sheet1!$E:$H,4,0)</f>
        <v>102608</v>
      </c>
      <c r="C7" s="11" t="s">
        <v>28</v>
      </c>
      <c r="D7" s="12">
        <v>2370226</v>
      </c>
      <c r="E7" s="12" t="s">
        <v>31</v>
      </c>
      <c r="F7" s="12">
        <v>80</v>
      </c>
      <c r="G7" s="2" t="s">
        <v>47</v>
      </c>
      <c r="H7" s="2"/>
      <c r="I7" s="2" t="s">
        <v>34</v>
      </c>
    </row>
    <row r="8" spans="1:13" x14ac:dyDescent="0.25">
      <c r="A8" s="2" t="s">
        <v>35</v>
      </c>
      <c r="B8" s="2">
        <f>VLOOKUP(E8,[1]Sheet1!$E:$H,4,0)</f>
        <v>102606</v>
      </c>
      <c r="C8" s="11" t="s">
        <v>28</v>
      </c>
      <c r="D8" s="13">
        <v>2564448</v>
      </c>
      <c r="E8" s="13" t="s">
        <v>32</v>
      </c>
      <c r="F8" s="12">
        <v>1500</v>
      </c>
      <c r="G8" s="2" t="s">
        <v>49</v>
      </c>
      <c r="H8" s="2"/>
      <c r="I8" s="2" t="s">
        <v>34</v>
      </c>
    </row>
    <row r="9" spans="1:13" x14ac:dyDescent="0.25">
      <c r="A9" s="2" t="s">
        <v>35</v>
      </c>
      <c r="B9" s="2">
        <f>VLOOKUP(E9,[1]Sheet1!$E:$H,4,0)</f>
        <v>102843</v>
      </c>
      <c r="C9" s="11" t="s">
        <v>28</v>
      </c>
      <c r="D9" s="12">
        <v>2639020</v>
      </c>
      <c r="E9" s="12" t="s">
        <v>33</v>
      </c>
      <c r="F9" s="12">
        <v>220</v>
      </c>
      <c r="G9" s="2" t="s">
        <v>50</v>
      </c>
      <c r="H9" s="2"/>
      <c r="I9" s="2" t="s">
        <v>34</v>
      </c>
    </row>
    <row r="10" spans="1:13" x14ac:dyDescent="0.25">
      <c r="A10" s="2" t="s">
        <v>35</v>
      </c>
      <c r="B10" s="2" t="e">
        <f>VLOOKUP(E10,[1]Sheet1!$E:$H,4,0)</f>
        <v>#N/A</v>
      </c>
      <c r="C10" s="6" t="s">
        <v>21</v>
      </c>
      <c r="D10" s="2" t="s">
        <v>12</v>
      </c>
      <c r="E10" s="2" t="s">
        <v>14</v>
      </c>
      <c r="F10" s="12">
        <v>2500</v>
      </c>
      <c r="G10" s="2" t="s">
        <v>24</v>
      </c>
      <c r="H10" s="2"/>
      <c r="I10" s="2"/>
    </row>
    <row r="11" spans="1:13" x14ac:dyDescent="0.25">
      <c r="A11" s="2" t="s">
        <v>35</v>
      </c>
      <c r="B11" s="2">
        <f>VLOOKUP(E11,[1]Sheet1!$E:$H,4,0)</f>
        <v>102185</v>
      </c>
      <c r="C11" s="14" t="s">
        <v>11</v>
      </c>
      <c r="D11" s="2" t="s">
        <v>10</v>
      </c>
      <c r="E11" s="2" t="s">
        <v>13</v>
      </c>
      <c r="F11" s="12">
        <v>500</v>
      </c>
      <c r="G11" s="2" t="s">
        <v>20</v>
      </c>
      <c r="H11" s="2"/>
      <c r="I11" s="2"/>
    </row>
    <row r="12" spans="1:13" x14ac:dyDescent="0.25">
      <c r="A12" s="2" t="s">
        <v>35</v>
      </c>
      <c r="B12" s="2">
        <f>VLOOKUP(E12,[1]Sheet1!$E:$H,4,0)</f>
        <v>100278</v>
      </c>
      <c r="C12" s="14" t="s">
        <v>36</v>
      </c>
      <c r="D12" s="2" t="s">
        <v>37</v>
      </c>
      <c r="E12" s="2" t="s">
        <v>44</v>
      </c>
      <c r="F12" s="12">
        <v>1500</v>
      </c>
      <c r="G12" s="2" t="s">
        <v>52</v>
      </c>
      <c r="H12" s="2"/>
      <c r="I12" s="2"/>
    </row>
    <row r="13" spans="1:13" x14ac:dyDescent="0.25">
      <c r="A13" s="2" t="s">
        <v>35</v>
      </c>
      <c r="B13" s="2">
        <f>VLOOKUP(E13,[1]Sheet1!$E:$H,4,0)</f>
        <v>101216</v>
      </c>
      <c r="C13" s="14" t="s">
        <v>39</v>
      </c>
      <c r="D13" s="2">
        <v>96138597</v>
      </c>
      <c r="E13" s="10" t="s">
        <v>38</v>
      </c>
      <c r="F13" s="12">
        <v>7000</v>
      </c>
      <c r="G13" s="2" t="s">
        <v>51</v>
      </c>
      <c r="H13" s="2"/>
      <c r="I13" s="2"/>
    </row>
    <row r="14" spans="1:13" x14ac:dyDescent="0.25">
      <c r="A14" s="2" t="s">
        <v>35</v>
      </c>
      <c r="B14" s="2">
        <f>VLOOKUP(E14,[1]Sheet1!$E:$H,4,0)</f>
        <v>104400</v>
      </c>
      <c r="C14" s="14" t="s">
        <v>43</v>
      </c>
      <c r="D14" s="2" t="s">
        <v>25</v>
      </c>
      <c r="E14" s="8" t="s">
        <v>26</v>
      </c>
      <c r="F14" s="12">
        <v>2000</v>
      </c>
      <c r="G14" s="2" t="s">
        <v>27</v>
      </c>
      <c r="H14" s="15"/>
      <c r="I14" s="2" t="s">
        <v>41</v>
      </c>
    </row>
    <row r="15" spans="1:13" x14ac:dyDescent="0.25">
      <c r="A15" s="2" t="s">
        <v>35</v>
      </c>
      <c r="B15" s="2">
        <f>VLOOKUP(E15,[1]Sheet1!$E:$H,4,0)</f>
        <v>104403</v>
      </c>
      <c r="C15" s="14" t="s">
        <v>43</v>
      </c>
      <c r="D15" s="2" t="s">
        <v>42</v>
      </c>
      <c r="E15" s="8" t="s">
        <v>40</v>
      </c>
      <c r="F15" s="12">
        <v>2000</v>
      </c>
      <c r="G15" s="2" t="s">
        <v>27</v>
      </c>
      <c r="H15" s="15"/>
      <c r="I15" s="2" t="s">
        <v>41</v>
      </c>
    </row>
    <row r="16" spans="1:13" x14ac:dyDescent="0.25">
      <c r="A16" s="2" t="s">
        <v>35</v>
      </c>
      <c r="B16" s="2" t="e">
        <f>VLOOKUP(E16,[1]Sheet1!$E:$H,4,0)</f>
        <v>#N/A</v>
      </c>
      <c r="C16" s="14" t="s">
        <v>23</v>
      </c>
      <c r="D16" s="2" t="s">
        <v>22</v>
      </c>
      <c r="E16" s="2" t="s">
        <v>48</v>
      </c>
      <c r="F16" s="12">
        <v>2376</v>
      </c>
      <c r="G16" s="2" t="s">
        <v>15</v>
      </c>
      <c r="H16" s="3"/>
      <c r="I16" s="3"/>
    </row>
    <row r="17" spans="1:9" x14ac:dyDescent="0.25">
      <c r="A17" s="2" t="s">
        <v>35</v>
      </c>
      <c r="B17" s="2">
        <f>VLOOKUP(E17,[1]Sheet1!$E:$H,4,0)</f>
        <v>101843</v>
      </c>
      <c r="C17" s="14" t="s">
        <v>23</v>
      </c>
      <c r="D17" s="2" t="s">
        <v>16</v>
      </c>
      <c r="E17" s="9" t="s">
        <v>17</v>
      </c>
      <c r="F17" s="12">
        <v>1980</v>
      </c>
      <c r="G17" s="2" t="s">
        <v>15</v>
      </c>
      <c r="H17" s="3"/>
      <c r="I17" s="3"/>
    </row>
    <row r="18" spans="1:9" x14ac:dyDescent="0.25">
      <c r="A18" s="2" t="s">
        <v>35</v>
      </c>
      <c r="B18" s="2">
        <f>VLOOKUP(E18,[1]Sheet1!$E:$H,4,0)</f>
        <v>101841</v>
      </c>
      <c r="C18" s="14" t="s">
        <v>23</v>
      </c>
      <c r="D18" s="2" t="s">
        <v>18</v>
      </c>
      <c r="E18" s="9" t="s">
        <v>19</v>
      </c>
      <c r="F18" s="12">
        <v>500</v>
      </c>
      <c r="G18" s="2" t="s">
        <v>15</v>
      </c>
      <c r="H18" s="3"/>
      <c r="I18" s="3"/>
    </row>
  </sheetData>
  <autoFilter ref="A1:J18" xr:uid="{F35EB766-5E85-41FD-9437-4EB6FA9729C3}"/>
  <conditionalFormatting sqref="E13">
    <cfRule type="duplicateValues" dxfId="0" priority="1"/>
  </conditionalFormatting>
  <hyperlinks>
    <hyperlink ref="G2" r:id="rId1" display="javascript:showHyperlinkTrans('254243951-1');" xr:uid="{DDF18F2B-0D1F-46A0-96FB-C81F44362E3A}"/>
    <hyperlink ref="G3" r:id="rId2" display="javascript:showHyperlinkTrans('254243951-1');" xr:uid="{04943CB1-B1F1-4796-A860-160F66ED4B50}"/>
    <hyperlink ref="G4" r:id="rId3" display="javascript:showHyperlinkTrans('254243951-1');" xr:uid="{BC181CEF-107C-47A8-8F79-1488F437C83C}"/>
    <hyperlink ref="G5" r:id="rId4" display="javascript:showHyperlinkTrans('254243951-1');" xr:uid="{690E3069-3923-4496-AAEE-BD197785F014}"/>
    <hyperlink ref="G14" r:id="rId5" display="javascript:showHyperlinkTrans('258486099-1');" xr:uid="{BCC885C9-2945-4C8D-9C38-2A01C7EC4F30}"/>
    <hyperlink ref="G15" r:id="rId6" display="javascript:showHyperlinkTrans('258486099-1');" xr:uid="{9B4D984C-8443-485F-9021-93FAA9E082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2026-10-13T04:45:53Z</dcterms:modified>
</cp:coreProperties>
</file>