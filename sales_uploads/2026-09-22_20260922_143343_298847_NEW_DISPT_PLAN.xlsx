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0240092-E409-4186-9FC0-03C9482CB0BE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Sheet4!$A$1:$J$15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B14" i="6"/>
  <c r="B3" i="6"/>
  <c r="B4" i="6"/>
  <c r="B5" i="6"/>
  <c r="B6" i="6"/>
  <c r="B7" i="6"/>
  <c r="B8" i="6"/>
  <c r="B9" i="6"/>
  <c r="B10" i="6"/>
  <c r="B11" i="6"/>
  <c r="B12" i="6"/>
  <c r="B13" i="6"/>
  <c r="B2" i="6"/>
</calcChain>
</file>

<file path=xl/sharedStrings.xml><?xml version="1.0" encoding="utf-8"?>
<sst xmlns="http://schemas.openxmlformats.org/spreadsheetml/2006/main" count="84" uniqueCount="53">
  <si>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</si>
  <si>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</si>
  <si>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</si>
  <si>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</si>
  <si>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</si>
  <si>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</si>
  <si>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</si>
  <si>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</si>
  <si>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</si>
  <si>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</si>
  <si>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</si>
  <si>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XDH00500</t>
  </si>
  <si>
    <t>TS M02 B08 174 CAT1</t>
  </si>
  <si>
    <t>TS M02 B08 82 CAT</t>
  </si>
  <si>
    <t>FS M09 B11 J2X CAT</t>
  </si>
  <si>
    <t>TS M02 B08 104 CAT</t>
  </si>
  <si>
    <t>012526SO0326</t>
  </si>
  <si>
    <t>01SO1086</t>
  </si>
  <si>
    <t>012627SO0008</t>
  </si>
  <si>
    <t>012627SO0011</t>
  </si>
  <si>
    <t>Caterpillar</t>
  </si>
  <si>
    <t>22.09.2026</t>
  </si>
  <si>
    <t>DISPATCH OLD STOCK</t>
  </si>
  <si>
    <t>AL HOSUR 2</t>
  </si>
  <si>
    <t>DISPATCH FROM NEW STOCK BY AIR</t>
  </si>
  <si>
    <t>S4001800</t>
  </si>
  <si>
    <t>WP M01 B01 J1X (OEM)</t>
  </si>
  <si>
    <t>SIMPSON SEMBIAM</t>
  </si>
  <si>
    <t>SIMPSON ANNASALAI</t>
  </si>
  <si>
    <t>012627SO0026</t>
  </si>
  <si>
    <t>Radiant Arts</t>
  </si>
  <si>
    <t>51-311</t>
  </si>
  <si>
    <t>WQ M03 B04 188 OEM</t>
  </si>
  <si>
    <t>SRI DURGA TRANPSORT</t>
  </si>
  <si>
    <t>FM INDIA</t>
  </si>
  <si>
    <t>TV M03 B10 120.66 AL</t>
  </si>
  <si>
    <t>AL ALWAR</t>
  </si>
  <si>
    <t>X8H13000</t>
  </si>
  <si>
    <t>WTL M03 B03 312 AL NEW</t>
  </si>
  <si>
    <t>01SO1098</t>
  </si>
  <si>
    <t>01SO0953</t>
  </si>
  <si>
    <t>012526SO0839</t>
  </si>
  <si>
    <t>012627SO0061</t>
  </si>
  <si>
    <t>012526SO0243</t>
  </si>
  <si>
    <t>C9120344</t>
  </si>
  <si>
    <t>WTL M03 B02 12 OEM</t>
  </si>
  <si>
    <t>ESCORT KUBOTA</t>
  </si>
  <si>
    <t>012627SO0107</t>
  </si>
  <si>
    <t>VERY URGENT SHOULD BE DISPATCHED TODAY</t>
  </si>
  <si>
    <t>HAB0160032</t>
  </si>
  <si>
    <t>WP M04 B01 J5X RCM</t>
  </si>
  <si>
    <t>012627SO0276</t>
  </si>
  <si>
    <t>RAYCHEM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</si>
</sst>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1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5" borderId="1" xfId="3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6" fillId="0" borderId="1" xfId="1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8486099-1');" TargetMode="External"/><Relationship Id="rId2" Type="http://schemas.openxmlformats.org/officeDocument/2006/relationships/hyperlink" Target="javascript:onclick=showHyperlinkTrans('177835918-1');" TargetMode="External"/><Relationship Id="rId1" Type="http://schemas.openxmlformats.org/officeDocument/2006/relationships/hyperlink" Target="javascript:showHyperlinkTrans('254813707-1');" TargetMode="External"/><Relationship Id="rId4" Type="http://schemas.openxmlformats.org/officeDocument/2006/relationships/hyperlink" Target="javascript:showHyperlinkTrans('267678193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5"/>
  <sheetViews>
    <sheetView tabSelected="1" workbookViewId="0">
      <selection activeCell="C18" sqref="C18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3"/>
      <c r="M1" s="3"/>
    </row>
    <row r="2" spans="1:13" x14ac:dyDescent="0.25">
      <c r="A2" s="2" t="s">
        <v>21</v>
      </c>
      <c r="B2" s="2">
        <f>VLOOKUP(E2,[1]Sheet1!$E:$H,4,0)</f>
        <v>102833</v>
      </c>
      <c r="C2" s="2" t="s">
        <v>20</v>
      </c>
      <c r="D2" s="5">
        <v>1356261</v>
      </c>
      <c r="E2" s="2" t="s">
        <v>12</v>
      </c>
      <c r="F2" s="5">
        <v>640</v>
      </c>
      <c r="G2" s="6" t="s">
        <v>16</v>
      </c>
      <c r="H2" s="2"/>
      <c r="I2" s="2" t="s">
        <v>34</v>
      </c>
      <c r="J2" s="2"/>
    </row>
    <row r="3" spans="1:13" x14ac:dyDescent="0.25">
      <c r="A3" s="2" t="s">
        <v>21</v>
      </c>
      <c r="B3" s="2">
        <f>VLOOKUP(E3,[1]Sheet1!$E:$H,4,0)</f>
        <v>102833</v>
      </c>
      <c r="C3" s="2" t="s">
        <v>20</v>
      </c>
      <c r="D3" s="5">
        <v>1356261</v>
      </c>
      <c r="E3" s="2" t="s">
        <v>12</v>
      </c>
      <c r="F3" s="5">
        <v>640</v>
      </c>
      <c r="G3" s="6" t="s">
        <v>16</v>
      </c>
      <c r="H3" s="2"/>
      <c r="I3" s="2" t="s">
        <v>34</v>
      </c>
      <c r="J3" s="2"/>
    </row>
    <row r="4" spans="1:13" x14ac:dyDescent="0.25">
      <c r="A4" s="2" t="s">
        <v>21</v>
      </c>
      <c r="B4" s="2">
        <f>VLOOKUP(E4,[1]Sheet1!$E:$H,4,0)</f>
        <v>102836</v>
      </c>
      <c r="C4" s="2" t="s">
        <v>20</v>
      </c>
      <c r="D4" s="5">
        <v>2094582</v>
      </c>
      <c r="E4" s="2" t="s">
        <v>13</v>
      </c>
      <c r="F4" s="5">
        <v>1056</v>
      </c>
      <c r="G4" s="6" t="s">
        <v>17</v>
      </c>
      <c r="H4" s="2"/>
      <c r="I4" s="2" t="s">
        <v>34</v>
      </c>
      <c r="J4" s="2"/>
    </row>
    <row r="5" spans="1:13" x14ac:dyDescent="0.25">
      <c r="A5" s="2" t="s">
        <v>21</v>
      </c>
      <c r="B5" s="2">
        <f>VLOOKUP(E5,[1]Sheet1!$E:$H,4,0)</f>
        <v>102876</v>
      </c>
      <c r="C5" s="2" t="s">
        <v>20</v>
      </c>
      <c r="D5" s="5">
        <v>4578083</v>
      </c>
      <c r="E5" s="2" t="s">
        <v>14</v>
      </c>
      <c r="F5" s="5">
        <v>1600</v>
      </c>
      <c r="G5" s="6" t="s">
        <v>18</v>
      </c>
      <c r="H5" s="2"/>
      <c r="I5" s="2" t="s">
        <v>34</v>
      </c>
      <c r="J5" s="2"/>
    </row>
    <row r="6" spans="1:13" x14ac:dyDescent="0.25">
      <c r="A6" s="2" t="s">
        <v>21</v>
      </c>
      <c r="B6" s="2">
        <f>VLOOKUP(E6,[1]Sheet1!$E:$H,4,0)</f>
        <v>102563</v>
      </c>
      <c r="C6" s="2" t="s">
        <v>20</v>
      </c>
      <c r="D6" s="5">
        <v>2087448</v>
      </c>
      <c r="E6" s="2" t="s">
        <v>15</v>
      </c>
      <c r="F6" s="5">
        <v>2880</v>
      </c>
      <c r="G6" s="6" t="s">
        <v>19</v>
      </c>
      <c r="H6" s="2"/>
      <c r="I6" s="2" t="s">
        <v>34</v>
      </c>
      <c r="J6" s="2"/>
    </row>
    <row r="7" spans="1:13" x14ac:dyDescent="0.25">
      <c r="A7" s="2" t="s">
        <v>21</v>
      </c>
      <c r="B7" s="2">
        <f>VLOOKUP(E7,[1]Sheet1!$E:$H,4,0)</f>
        <v>102563</v>
      </c>
      <c r="C7" s="2" t="s">
        <v>20</v>
      </c>
      <c r="D7" s="5">
        <v>2087448</v>
      </c>
      <c r="E7" s="2" t="s">
        <v>15</v>
      </c>
      <c r="F7" s="5">
        <v>2880</v>
      </c>
      <c r="G7" s="6" t="s">
        <v>19</v>
      </c>
      <c r="H7" s="2"/>
      <c r="I7" s="2" t="s">
        <v>34</v>
      </c>
      <c r="J7" s="2"/>
    </row>
    <row r="8" spans="1:13" x14ac:dyDescent="0.25">
      <c r="A8" s="7" t="s">
        <v>21</v>
      </c>
      <c r="B8" s="2">
        <f>VLOOKUP(E8,[1]Sheet1!$E:$H,4,0)</f>
        <v>101635</v>
      </c>
      <c r="C8" s="7" t="s">
        <v>10</v>
      </c>
      <c r="D8" s="2" t="s">
        <v>11</v>
      </c>
      <c r="E8" s="2" t="s">
        <v>35</v>
      </c>
      <c r="F8" s="5">
        <v>2500</v>
      </c>
      <c r="G8" s="2" t="s">
        <v>39</v>
      </c>
      <c r="H8" s="2"/>
      <c r="I8" s="8" t="s">
        <v>22</v>
      </c>
      <c r="J8" s="2"/>
    </row>
    <row r="9" spans="1:13" x14ac:dyDescent="0.25">
      <c r="A9" s="7" t="s">
        <v>21</v>
      </c>
      <c r="B9" s="2">
        <f>VLOOKUP(E9,[1]Sheet1!$E:$H,4,0)</f>
        <v>101635</v>
      </c>
      <c r="C9" s="7" t="s">
        <v>23</v>
      </c>
      <c r="D9" s="2" t="s">
        <v>11</v>
      </c>
      <c r="E9" s="2" t="s">
        <v>35</v>
      </c>
      <c r="F9" s="5">
        <v>1000</v>
      </c>
      <c r="G9" s="14" t="s">
        <v>40</v>
      </c>
      <c r="H9" s="2"/>
      <c r="I9" s="8" t="s">
        <v>24</v>
      </c>
      <c r="J9" s="2"/>
    </row>
    <row r="10" spans="1:13" x14ac:dyDescent="0.25">
      <c r="A10" s="7" t="s">
        <v>21</v>
      </c>
      <c r="B10" s="2">
        <f>VLOOKUP(E10,[1]Sheet1!$E:$H,4,0)</f>
        <v>100468</v>
      </c>
      <c r="C10" s="7" t="s">
        <v>27</v>
      </c>
      <c r="D10" s="9" t="s">
        <v>25</v>
      </c>
      <c r="E10" s="9" t="s">
        <v>26</v>
      </c>
      <c r="F10" s="5">
        <v>12000</v>
      </c>
      <c r="G10" s="2" t="s">
        <v>42</v>
      </c>
      <c r="H10" s="2"/>
      <c r="I10" s="2"/>
      <c r="J10" s="2"/>
    </row>
    <row r="11" spans="1:13" x14ac:dyDescent="0.25">
      <c r="A11" s="7" t="s">
        <v>21</v>
      </c>
      <c r="B11" s="2">
        <f>VLOOKUP(E11,[1]Sheet1!$E:$H,4,0)</f>
        <v>100468</v>
      </c>
      <c r="C11" s="7" t="s">
        <v>28</v>
      </c>
      <c r="D11" s="9" t="s">
        <v>25</v>
      </c>
      <c r="E11" s="9" t="s">
        <v>26</v>
      </c>
      <c r="F11" s="5">
        <v>12000</v>
      </c>
      <c r="G11" s="2" t="s">
        <v>43</v>
      </c>
      <c r="H11" s="2"/>
      <c r="I11" s="2"/>
      <c r="J11" s="2"/>
    </row>
    <row r="12" spans="1:13" x14ac:dyDescent="0.25">
      <c r="A12" s="7" t="s">
        <v>21</v>
      </c>
      <c r="B12" s="2">
        <f>VLOOKUP(E12,[1]Sheet1!$E:$H,4,0)</f>
        <v>100847</v>
      </c>
      <c r="C12" s="7" t="s">
        <v>30</v>
      </c>
      <c r="D12" s="2" t="s">
        <v>31</v>
      </c>
      <c r="E12" s="10" t="s">
        <v>32</v>
      </c>
      <c r="F12" s="5">
        <v>20000</v>
      </c>
      <c r="G12" s="11" t="s">
        <v>29</v>
      </c>
      <c r="H12" s="12"/>
      <c r="I12" s="2" t="s">
        <v>33</v>
      </c>
      <c r="J12" s="2"/>
    </row>
    <row r="13" spans="1:13" x14ac:dyDescent="0.25">
      <c r="A13" s="7" t="s">
        <v>21</v>
      </c>
      <c r="B13" s="2" t="e">
        <f>VLOOKUP(E13,[1]Sheet1!$E:$H,4,0)</f>
        <v>#N/A</v>
      </c>
      <c r="C13" s="7" t="s">
        <v>36</v>
      </c>
      <c r="D13" s="13" t="s">
        <v>37</v>
      </c>
      <c r="E13" s="2" t="s">
        <v>38</v>
      </c>
      <c r="F13" s="5">
        <v>3000</v>
      </c>
      <c r="G13" s="2" t="s">
        <v>41</v>
      </c>
      <c r="H13" s="2"/>
      <c r="I13" s="2"/>
      <c r="J13" s="2"/>
    </row>
    <row r="14" spans="1:13" x14ac:dyDescent="0.25">
      <c r="A14" s="7" t="s">
        <v>21</v>
      </c>
      <c r="B14" s="2">
        <f>VLOOKUP(E14,[1]Sheet1!$E:$H,4,0)</f>
        <v>104401</v>
      </c>
      <c r="C14" s="7" t="s">
        <v>46</v>
      </c>
      <c r="D14" s="15" t="s">
        <v>44</v>
      </c>
      <c r="E14" s="15" t="s">
        <v>45</v>
      </c>
      <c r="F14" s="5">
        <v>1000</v>
      </c>
      <c r="G14" s="2" t="s">
        <v>47</v>
      </c>
      <c r="H14" s="12"/>
      <c r="I14" s="8" t="s">
        <v>48</v>
      </c>
      <c r="J14" s="2"/>
    </row>
    <row r="15" spans="1:13" x14ac:dyDescent="0.25">
      <c r="A15" s="7" t="s">
        <v>21</v>
      </c>
      <c r="B15" s="2">
        <f>VLOOKUP(E15,[1]Sheet1!$E:$H,4,0)</f>
        <v>100246</v>
      </c>
      <c r="C15" s="7" t="s">
        <v>52</v>
      </c>
      <c r="D15" s="15" t="s">
        <v>49</v>
      </c>
      <c r="E15" s="16" t="s">
        <v>50</v>
      </c>
      <c r="F15" s="5">
        <v>1000</v>
      </c>
      <c r="G15" s="2" t="s">
        <v>51</v>
      </c>
      <c r="H15" s="12"/>
      <c r="I15" s="2"/>
      <c r="J15" s="2"/>
    </row>
  </sheetData>
  <autoFilter ref="A1:J15" xr:uid="{F35EB766-5E85-41FD-9437-4EB6FA9729C3}"/>
  <hyperlinks>
    <hyperlink ref="G12" r:id="rId1" display="javascript:showHyperlinkTrans('254813707-1');" xr:uid="{B29B7496-F0E3-4D81-B9D4-6C1EF8CAE9D7}"/>
    <hyperlink ref="G8" r:id="rId2" display="javascript:onclick=showHyperlinkTrans('177835918-1');" xr:uid="{9432FE63-228C-483D-B348-CF424F4C8F3D}"/>
    <hyperlink ref="G14" r:id="rId3" display="javascript:showHyperlinkTrans('258486099-1');" xr:uid="{3BBB83FA-2BC1-4F89-AD99-32620400E66D}"/>
    <hyperlink ref="G15" r:id="rId4" display="javascript:showHyperlinkTrans('267678193-1');" xr:uid="{B33B3581-D296-4CE1-921F-D136389C26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2026-09-22T09:03:13Z</dcterms:modified>
</cp:coreProperties>
</file>